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codeName="ThisWorkbook" defaultThemeVersion="124226"/>
  <mc:AlternateContent xmlns:mc="http://schemas.openxmlformats.org/markup-compatibility/2006">
    <mc:Choice Requires="x15">
      <x15ac:absPath xmlns:x15ac="http://schemas.microsoft.com/office/spreadsheetml/2010/11/ac" url="C:\Users\lyj36\Desktop\"/>
    </mc:Choice>
  </mc:AlternateContent>
  <xr:revisionPtr revIDLastSave="0" documentId="13_ncr:1_{B850C972-BFB5-4359-B58B-D2C84C48A071}" xr6:coauthVersionLast="47" xr6:coauthVersionMax="47" xr10:uidLastSave="{00000000-0000-0000-0000-000000000000}"/>
  <bookViews>
    <workbookView xWindow="8760" yWindow="-14865" windowWidth="28800" windowHeight="11595" tabRatio="666" firstSheet="5" activeTab="5" xr2:uid="{00000000-000D-0000-FFFF-FFFF00000000}"/>
  </bookViews>
  <sheets>
    <sheet name="Qualification and responsi-" sheetId="18" state="hidden" r:id="rId1"/>
    <sheet name="(EN)Risk Analysis Control Table" sheetId="19" state="hidden" r:id="rId2"/>
    <sheet name="Sheet1" sheetId="20" state="hidden" r:id="rId3"/>
    <sheet name="Sheet2" sheetId="21" state="hidden" r:id="rId4"/>
    <sheet name="Sheet3" sheetId="22" state="hidden" r:id="rId5"/>
    <sheet name="FMEA template" sheetId="30" r:id="rId6"/>
  </sheets>
  <definedNames>
    <definedName name="_xlnm._FilterDatabase" localSheetId="1" hidden="1">'(EN)Risk Analysis Control Table'!$Q$3:$S$378</definedName>
    <definedName name="_xlnm._FilterDatabase" localSheetId="5" hidden="1">'FMEA template'!$P$3:$R$3</definedName>
    <definedName name="_xlnm.Print_Area" localSheetId="5">'FMEA template'!$A$1:$X$3</definedName>
    <definedName name="_xlnm.Print_Area" localSheetId="0">'Qualification and responsi-'!$A$1:$N$18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2" i="19" l="1"/>
  <c r="J4" i="19"/>
  <c r="J307" i="19" l="1"/>
  <c r="K307" i="19"/>
  <c r="J310" i="19"/>
  <c r="K310" i="19"/>
  <c r="J313" i="19"/>
  <c r="K313" i="19"/>
  <c r="J316" i="19"/>
  <c r="K316" i="19"/>
  <c r="J319" i="19"/>
  <c r="K319" i="19"/>
  <c r="J322" i="19"/>
  <c r="K322" i="19"/>
  <c r="J325" i="19"/>
  <c r="K325" i="19"/>
  <c r="J328" i="19"/>
  <c r="K328" i="19"/>
  <c r="J166" i="19" l="1"/>
  <c r="K166" i="19"/>
  <c r="R166" i="19"/>
  <c r="Q166" i="19"/>
  <c r="L166" i="19" l="1"/>
  <c r="M166" i="19" s="1"/>
  <c r="S166" i="19" l="1"/>
  <c r="T166" i="19" s="1"/>
  <c r="J286" i="19" l="1"/>
  <c r="K286" i="19"/>
  <c r="J289" i="19"/>
  <c r="K289" i="19"/>
  <c r="J280" i="19"/>
  <c r="K280" i="19"/>
  <c r="J283" i="19"/>
  <c r="K283" i="19"/>
  <c r="R310" i="19"/>
  <c r="Q310" i="19"/>
  <c r="R307" i="19"/>
  <c r="Q307" i="19"/>
  <c r="R316" i="19"/>
  <c r="Q316" i="19"/>
  <c r="R313" i="19"/>
  <c r="Q313" i="19"/>
  <c r="R322" i="19"/>
  <c r="Q322" i="19"/>
  <c r="R319" i="19"/>
  <c r="Q319" i="19"/>
  <c r="R328" i="19"/>
  <c r="Q328" i="19"/>
  <c r="R325" i="19"/>
  <c r="Q325" i="19"/>
  <c r="L313" i="19" l="1"/>
  <c r="M313" i="19" s="1"/>
  <c r="L328" i="19"/>
  <c r="M328" i="19" s="1"/>
  <c r="L322" i="19"/>
  <c r="M322" i="19" s="1"/>
  <c r="L310" i="19"/>
  <c r="L319" i="19"/>
  <c r="M319" i="19" s="1"/>
  <c r="L325" i="19"/>
  <c r="M325" i="19" s="1"/>
  <c r="L316" i="19"/>
  <c r="M316" i="19" s="1"/>
  <c r="L307" i="19"/>
  <c r="M307" i="19" s="1"/>
  <c r="S328" i="19"/>
  <c r="S325" i="19"/>
  <c r="S313" i="19"/>
  <c r="S322" i="19"/>
  <c r="S319" i="19"/>
  <c r="S307" i="19"/>
  <c r="S316" i="19"/>
  <c r="S310" i="19"/>
  <c r="J61" i="19"/>
  <c r="K61" i="19"/>
  <c r="R61" i="19"/>
  <c r="R160" i="19"/>
  <c r="R211" i="19"/>
  <c r="J7" i="19"/>
  <c r="K7" i="19"/>
  <c r="J10" i="19"/>
  <c r="K10" i="19"/>
  <c r="J13" i="19"/>
  <c r="K13" i="19"/>
  <c r="J16" i="19"/>
  <c r="K16" i="19"/>
  <c r="J19" i="19"/>
  <c r="K19" i="19"/>
  <c r="K22" i="19"/>
  <c r="J25" i="19"/>
  <c r="K25" i="19"/>
  <c r="J28" i="19"/>
  <c r="K28" i="19"/>
  <c r="J31" i="19"/>
  <c r="K31" i="19"/>
  <c r="J34" i="19"/>
  <c r="K34" i="19"/>
  <c r="J190" i="19"/>
  <c r="K190" i="19"/>
  <c r="J193" i="19"/>
  <c r="K193" i="19"/>
  <c r="J67" i="19"/>
  <c r="K67" i="19"/>
  <c r="J346" i="19"/>
  <c r="K346" i="19"/>
  <c r="J349" i="19"/>
  <c r="K349" i="19"/>
  <c r="J352" i="19"/>
  <c r="K352" i="19"/>
  <c r="J334" i="19"/>
  <c r="K334" i="19"/>
  <c r="J142" i="19"/>
  <c r="K142" i="19"/>
  <c r="J331" i="19"/>
  <c r="K331" i="19"/>
  <c r="J292" i="19"/>
  <c r="K292" i="19"/>
  <c r="J196" i="19"/>
  <c r="K196" i="19"/>
  <c r="J214" i="19"/>
  <c r="K214" i="19"/>
  <c r="J199" i="19"/>
  <c r="K199" i="19"/>
  <c r="J202" i="19"/>
  <c r="K202" i="19"/>
  <c r="J205" i="19"/>
  <c r="K205" i="19"/>
  <c r="J337" i="19"/>
  <c r="K337" i="19"/>
  <c r="J340" i="19"/>
  <c r="K340" i="19"/>
  <c r="J268" i="19"/>
  <c r="K268" i="19"/>
  <c r="J271" i="19"/>
  <c r="K271" i="19"/>
  <c r="J64" i="19"/>
  <c r="K64" i="19"/>
  <c r="J208" i="19"/>
  <c r="K208" i="19"/>
  <c r="J136" i="19"/>
  <c r="K136" i="19"/>
  <c r="J217" i="19"/>
  <c r="K217" i="19"/>
  <c r="J220" i="19"/>
  <c r="K220" i="19"/>
  <c r="J154" i="19"/>
  <c r="K154" i="19"/>
  <c r="J157" i="19"/>
  <c r="K157" i="19"/>
  <c r="J160" i="19"/>
  <c r="K160" i="19"/>
  <c r="J163" i="19"/>
  <c r="K163" i="19"/>
  <c r="J133" i="19"/>
  <c r="K133" i="19"/>
  <c r="J178" i="19"/>
  <c r="K178" i="19"/>
  <c r="J70" i="19"/>
  <c r="K70" i="19"/>
  <c r="J181" i="19"/>
  <c r="K181" i="19"/>
  <c r="J73" i="19"/>
  <c r="K73" i="19"/>
  <c r="J76" i="19"/>
  <c r="K76" i="19"/>
  <c r="J79" i="19"/>
  <c r="K79" i="19"/>
  <c r="J82" i="19"/>
  <c r="K82" i="19"/>
  <c r="J223" i="19"/>
  <c r="K223" i="19"/>
  <c r="J226" i="19"/>
  <c r="K226" i="19"/>
  <c r="J85" i="19"/>
  <c r="K85" i="19"/>
  <c r="J88" i="19"/>
  <c r="K88" i="19"/>
  <c r="J115" i="19"/>
  <c r="K115" i="19"/>
  <c r="J91" i="19"/>
  <c r="K91" i="19"/>
  <c r="J211" i="19"/>
  <c r="K211" i="19"/>
  <c r="J94" i="19"/>
  <c r="K94" i="19"/>
  <c r="J229" i="19"/>
  <c r="K229" i="19"/>
  <c r="J232" i="19"/>
  <c r="K232" i="19"/>
  <c r="J97" i="19"/>
  <c r="K97" i="19"/>
  <c r="J235" i="19"/>
  <c r="K235" i="19"/>
  <c r="J238" i="19"/>
  <c r="K238" i="19"/>
  <c r="J124" i="19"/>
  <c r="K124" i="19"/>
  <c r="J175" i="19"/>
  <c r="K175" i="19"/>
  <c r="J100" i="19"/>
  <c r="K100" i="19"/>
  <c r="J145" i="19"/>
  <c r="K145" i="19"/>
  <c r="J103" i="19"/>
  <c r="K103" i="19"/>
  <c r="J355" i="19"/>
  <c r="K355" i="19"/>
  <c r="J358" i="19"/>
  <c r="K358" i="19"/>
  <c r="K106" i="19"/>
  <c r="J148" i="19"/>
  <c r="K148" i="19"/>
  <c r="J241" i="19"/>
  <c r="K241" i="19"/>
  <c r="J244" i="19"/>
  <c r="K244" i="19"/>
  <c r="J127" i="19"/>
  <c r="K127" i="19"/>
  <c r="J130" i="19"/>
  <c r="K130" i="19"/>
  <c r="J184" i="19"/>
  <c r="K184" i="19"/>
  <c r="J187" i="19"/>
  <c r="K187" i="19"/>
  <c r="J247" i="19"/>
  <c r="K247" i="19"/>
  <c r="J250" i="19"/>
  <c r="K250" i="19"/>
  <c r="J253" i="19"/>
  <c r="K253" i="19"/>
  <c r="J139" i="19"/>
  <c r="K139" i="19"/>
  <c r="J151" i="19"/>
  <c r="K151" i="19"/>
  <c r="J118" i="19"/>
  <c r="K118" i="19"/>
  <c r="J121" i="19"/>
  <c r="K121" i="19"/>
  <c r="J256" i="19"/>
  <c r="K256" i="19"/>
  <c r="J259" i="19"/>
  <c r="K259" i="19"/>
  <c r="J262" i="19"/>
  <c r="K262" i="19"/>
  <c r="J265" i="19"/>
  <c r="K265" i="19"/>
  <c r="J274" i="19"/>
  <c r="K274" i="19"/>
  <c r="J277" i="19"/>
  <c r="K277" i="19"/>
  <c r="J295" i="19"/>
  <c r="K295" i="19"/>
  <c r="J301" i="19"/>
  <c r="K301" i="19"/>
  <c r="J298" i="19"/>
  <c r="K298" i="19"/>
  <c r="J304" i="19"/>
  <c r="K304" i="19"/>
  <c r="J43" i="19"/>
  <c r="K43" i="19"/>
  <c r="J46" i="19"/>
  <c r="K46" i="19"/>
  <c r="J49" i="19"/>
  <c r="K49" i="19"/>
  <c r="J52" i="19"/>
  <c r="K52" i="19"/>
  <c r="J55" i="19"/>
  <c r="K55" i="19"/>
  <c r="J58" i="19"/>
  <c r="K58" i="19"/>
  <c r="J367" i="19"/>
  <c r="K367" i="19"/>
  <c r="J370" i="19"/>
  <c r="K370" i="19"/>
  <c r="J373" i="19"/>
  <c r="K373" i="19"/>
  <c r="J376" i="19"/>
  <c r="K376" i="19"/>
  <c r="J343" i="19"/>
  <c r="K343" i="19"/>
  <c r="J169" i="19"/>
  <c r="K169" i="19"/>
  <c r="J172" i="19"/>
  <c r="K172" i="19"/>
  <c r="J37" i="19"/>
  <c r="K37" i="19"/>
  <c r="J40" i="19"/>
  <c r="K40" i="19"/>
  <c r="J361" i="19"/>
  <c r="K361" i="19"/>
  <c r="J364" i="19"/>
  <c r="K364" i="19"/>
  <c r="J112" i="19"/>
  <c r="K112" i="19"/>
  <c r="J109" i="19"/>
  <c r="K109" i="19"/>
  <c r="K4" i="19"/>
  <c r="T325" i="19" l="1"/>
  <c r="T307" i="19"/>
  <c r="T313" i="19"/>
  <c r="T322" i="19"/>
  <c r="T319" i="19"/>
  <c r="T316" i="19"/>
  <c r="T328" i="19"/>
  <c r="R49" i="19"/>
  <c r="Q49" i="19"/>
  <c r="L49" i="19" l="1"/>
  <c r="M49" i="19" s="1"/>
  <c r="R109" i="19"/>
  <c r="Q109" i="19"/>
  <c r="R112" i="19"/>
  <c r="Q112" i="19"/>
  <c r="R364" i="19"/>
  <c r="Q364" i="19"/>
  <c r="R361" i="19"/>
  <c r="Q361" i="19"/>
  <c r="R40" i="19"/>
  <c r="Q40" i="19"/>
  <c r="R37" i="19"/>
  <c r="Q37" i="19"/>
  <c r="R172" i="19"/>
  <c r="Q172" i="19"/>
  <c r="R169" i="19"/>
  <c r="Q169" i="19"/>
  <c r="L169" i="19"/>
  <c r="M169" i="19" s="1"/>
  <c r="R343" i="19"/>
  <c r="Q343" i="19"/>
  <c r="R376" i="19"/>
  <c r="Q376" i="19"/>
  <c r="R373" i="19"/>
  <c r="Q373" i="19"/>
  <c r="R370" i="19"/>
  <c r="Q370" i="19"/>
  <c r="R367" i="19"/>
  <c r="R58" i="19"/>
  <c r="Q58" i="19"/>
  <c r="R55" i="19"/>
  <c r="Q55" i="19"/>
  <c r="R52" i="19"/>
  <c r="Q52" i="19"/>
  <c r="L172" i="19" l="1"/>
  <c r="M172" i="19" s="1"/>
  <c r="L40" i="19"/>
  <c r="M40" i="19" s="1"/>
  <c r="L364" i="19"/>
  <c r="M364" i="19" s="1"/>
  <c r="L109" i="19"/>
  <c r="M109" i="19" s="1"/>
  <c r="L37" i="19"/>
  <c r="M37" i="19" s="1"/>
  <c r="L361" i="19"/>
  <c r="M361" i="19" s="1"/>
  <c r="L112" i="19"/>
  <c r="M112" i="19" s="1"/>
  <c r="Q367" i="19"/>
  <c r="L52" i="19"/>
  <c r="M52" i="19" s="1"/>
  <c r="L58" i="19"/>
  <c r="M58" i="19" s="1"/>
  <c r="L370" i="19"/>
  <c r="M370" i="19" s="1"/>
  <c r="L376" i="19"/>
  <c r="M376" i="19" s="1"/>
  <c r="L343" i="19"/>
  <c r="M343" i="19" s="1"/>
  <c r="L55" i="19"/>
  <c r="M55" i="19" s="1"/>
  <c r="L367" i="19"/>
  <c r="M367" i="19" s="1"/>
  <c r="L373" i="19"/>
  <c r="M373" i="19" s="1"/>
  <c r="M310" i="19"/>
  <c r="S49" i="19"/>
  <c r="T49" i="19" s="1"/>
  <c r="S364" i="19" l="1"/>
  <c r="T364" i="19" s="1"/>
  <c r="S172" i="19"/>
  <c r="T172" i="19" s="1"/>
  <c r="S112" i="19"/>
  <c r="T112" i="19" s="1"/>
  <c r="S37" i="19"/>
  <c r="T37" i="19" s="1"/>
  <c r="S109" i="19"/>
  <c r="T109" i="19" s="1"/>
  <c r="S40" i="19"/>
  <c r="T40" i="19" s="1"/>
  <c r="S361" i="19"/>
  <c r="T361" i="19" s="1"/>
  <c r="S169" i="19"/>
  <c r="T169" i="19" s="1"/>
  <c r="S52" i="19"/>
  <c r="T52" i="19" s="1"/>
  <c r="S367" i="19"/>
  <c r="T367" i="19" s="1"/>
  <c r="T310" i="19"/>
  <c r="S373" i="19"/>
  <c r="T373" i="19" s="1"/>
  <c r="S370" i="19"/>
  <c r="T370" i="19" s="1"/>
  <c r="S55" i="19"/>
  <c r="T55" i="19" s="1"/>
  <c r="S343" i="19"/>
  <c r="T343" i="19" s="1"/>
  <c r="S376" i="19"/>
  <c r="T376" i="19" s="1"/>
  <c r="S58" i="19"/>
  <c r="T58" i="19" s="1"/>
  <c r="R46" i="19"/>
  <c r="R43" i="19"/>
  <c r="Q43" i="19"/>
  <c r="R304" i="19"/>
  <c r="R298" i="19"/>
  <c r="Q298" i="19"/>
  <c r="R301" i="19"/>
  <c r="Q301" i="19"/>
  <c r="R295" i="19"/>
  <c r="Q295" i="19"/>
  <c r="R277" i="19"/>
  <c r="Q277" i="19"/>
  <c r="R274" i="19"/>
  <c r="Q274" i="19"/>
  <c r="R265" i="19"/>
  <c r="L265" i="19"/>
  <c r="M265" i="19" s="1"/>
  <c r="R262" i="19"/>
  <c r="Q262" i="19"/>
  <c r="R259" i="19"/>
  <c r="R256" i="19"/>
  <c r="Q256" i="19"/>
  <c r="R121" i="19"/>
  <c r="Q121" i="19"/>
  <c r="R118" i="19"/>
  <c r="Q118" i="19"/>
  <c r="R151" i="19"/>
  <c r="Q151" i="19"/>
  <c r="L151" i="19"/>
  <c r="M151" i="19" s="1"/>
  <c r="R139" i="19"/>
  <c r="Q139" i="19"/>
  <c r="R253" i="19"/>
  <c r="Q253" i="19"/>
  <c r="R250" i="19"/>
  <c r="Q250" i="19"/>
  <c r="R247" i="19"/>
  <c r="Q247" i="19"/>
  <c r="R187" i="19"/>
  <c r="Q187" i="19"/>
  <c r="R184" i="19"/>
  <c r="Q184" i="19"/>
  <c r="R130" i="19"/>
  <c r="Q130" i="19"/>
  <c r="R127" i="19"/>
  <c r="Q127" i="19"/>
  <c r="R244" i="19"/>
  <c r="Q244" i="19"/>
  <c r="R241" i="19"/>
  <c r="Q241" i="19"/>
  <c r="R148" i="19"/>
  <c r="Q148" i="19"/>
  <c r="R106" i="19"/>
  <c r="Q106" i="19"/>
  <c r="R358" i="19"/>
  <c r="Q358" i="19"/>
  <c r="R355" i="19"/>
  <c r="Q355" i="19"/>
  <c r="R103" i="19"/>
  <c r="Q103" i="19"/>
  <c r="R145" i="19"/>
  <c r="Q145" i="19"/>
  <c r="Q100" i="19"/>
  <c r="R175" i="19"/>
  <c r="Q175" i="19"/>
  <c r="R124" i="19"/>
  <c r="Q124" i="19"/>
  <c r="R238" i="19"/>
  <c r="R235" i="19"/>
  <c r="Q235" i="19"/>
  <c r="R97" i="19"/>
  <c r="Q97" i="19"/>
  <c r="R232" i="19"/>
  <c r="Q232" i="19"/>
  <c r="R229" i="19"/>
  <c r="Q229" i="19"/>
  <c r="L121" i="19" l="1"/>
  <c r="M121" i="19" s="1"/>
  <c r="L259" i="19"/>
  <c r="M259" i="19" s="1"/>
  <c r="Q259" i="19"/>
  <c r="L277" i="19"/>
  <c r="M277" i="19" s="1"/>
  <c r="L301" i="19"/>
  <c r="M301" i="19" s="1"/>
  <c r="L304" i="19"/>
  <c r="M304" i="19" s="1"/>
  <c r="L46" i="19"/>
  <c r="M46" i="19" s="1"/>
  <c r="Q265" i="19"/>
  <c r="Q304" i="19"/>
  <c r="Q46" i="19"/>
  <c r="L118" i="19"/>
  <c r="M118" i="19" s="1"/>
  <c r="L256" i="19"/>
  <c r="M256" i="19" s="1"/>
  <c r="L262" i="19"/>
  <c r="M262" i="19" s="1"/>
  <c r="L274" i="19"/>
  <c r="M274" i="19" s="1"/>
  <c r="L295" i="19"/>
  <c r="M295" i="19" s="1"/>
  <c r="L298" i="19"/>
  <c r="M298" i="19" s="1"/>
  <c r="L43" i="19"/>
  <c r="M43" i="19" s="1"/>
  <c r="L187" i="19"/>
  <c r="M187" i="19" s="1"/>
  <c r="L250" i="19"/>
  <c r="M250" i="19" s="1"/>
  <c r="L139" i="19"/>
  <c r="M139" i="19" s="1"/>
  <c r="L184" i="19"/>
  <c r="M184" i="19" s="1"/>
  <c r="L247" i="19"/>
  <c r="M247" i="19" s="1"/>
  <c r="L253" i="19"/>
  <c r="M253" i="19" s="1"/>
  <c r="L355" i="19"/>
  <c r="M355" i="19" s="1"/>
  <c r="L106" i="19"/>
  <c r="M106" i="19" s="1"/>
  <c r="L241" i="19"/>
  <c r="M241" i="19" s="1"/>
  <c r="L127" i="19"/>
  <c r="M127" i="19" s="1"/>
  <c r="L103" i="19"/>
  <c r="M103" i="19" s="1"/>
  <c r="L358" i="19"/>
  <c r="M358" i="19" s="1"/>
  <c r="L148" i="19"/>
  <c r="M148" i="19" s="1"/>
  <c r="L244" i="19"/>
  <c r="M244" i="19" s="1"/>
  <c r="L130" i="19"/>
  <c r="M130" i="19" s="1"/>
  <c r="L100" i="19"/>
  <c r="M100" i="19" s="1"/>
  <c r="R100" i="19"/>
  <c r="L145" i="19"/>
  <c r="M145" i="19" s="1"/>
  <c r="L97" i="19"/>
  <c r="M97" i="19" s="1"/>
  <c r="L235" i="19"/>
  <c r="M235" i="19" s="1"/>
  <c r="L238" i="19"/>
  <c r="M238" i="19" s="1"/>
  <c r="L175" i="19"/>
  <c r="M175" i="19" s="1"/>
  <c r="Q238" i="19"/>
  <c r="L229" i="19"/>
  <c r="M229" i="19" s="1"/>
  <c r="L232" i="19"/>
  <c r="M232" i="19" s="1"/>
  <c r="L124" i="19"/>
  <c r="M124" i="19" s="1"/>
  <c r="L220" i="19"/>
  <c r="M220" i="19" s="1"/>
  <c r="S301" i="19" l="1"/>
  <c r="T301" i="19" s="1"/>
  <c r="S274" i="19"/>
  <c r="T274" i="19" s="1"/>
  <c r="S265" i="19"/>
  <c r="T265" i="19" s="1"/>
  <c r="S121" i="19"/>
  <c r="T121" i="19" s="1"/>
  <c r="S262" i="19"/>
  <c r="T262" i="19" s="1"/>
  <c r="S259" i="19"/>
  <c r="T259" i="19" s="1"/>
  <c r="S277" i="19"/>
  <c r="T277" i="19" s="1"/>
  <c r="S295" i="19"/>
  <c r="T295" i="19" s="1"/>
  <c r="S256" i="19"/>
  <c r="T256" i="19" s="1"/>
  <c r="S43" i="19"/>
  <c r="T43" i="19" s="1"/>
  <c r="S46" i="19"/>
  <c r="T46" i="19" s="1"/>
  <c r="S118" i="19"/>
  <c r="T118" i="19" s="1"/>
  <c r="S298" i="19"/>
  <c r="T298" i="19" s="1"/>
  <c r="S304" i="19"/>
  <c r="T304" i="19" s="1"/>
  <c r="S151" i="19"/>
  <c r="T151" i="19" s="1"/>
  <c r="S250" i="19"/>
  <c r="T250" i="19" s="1"/>
  <c r="S187" i="19"/>
  <c r="T187" i="19" s="1"/>
  <c r="S253" i="19"/>
  <c r="T253" i="19" s="1"/>
  <c r="S184" i="19"/>
  <c r="T184" i="19" s="1"/>
  <c r="S247" i="19"/>
  <c r="T247" i="19" s="1"/>
  <c r="S139" i="19"/>
  <c r="T139" i="19" s="1"/>
  <c r="S358" i="19"/>
  <c r="T358" i="19" s="1"/>
  <c r="S127" i="19"/>
  <c r="T127" i="19" s="1"/>
  <c r="S148" i="19"/>
  <c r="T148" i="19" s="1"/>
  <c r="S355" i="19"/>
  <c r="T355" i="19" s="1"/>
  <c r="S241" i="19"/>
  <c r="T241" i="19" s="1"/>
  <c r="S130" i="19"/>
  <c r="T130" i="19" s="1"/>
  <c r="S244" i="19"/>
  <c r="T244" i="19" s="1"/>
  <c r="S106" i="19"/>
  <c r="T106" i="19" s="1"/>
  <c r="S103" i="19"/>
  <c r="T103" i="19" s="1"/>
  <c r="S100" i="19"/>
  <c r="T100" i="19" s="1"/>
  <c r="S145" i="19"/>
  <c r="T145" i="19" s="1"/>
  <c r="S238" i="19"/>
  <c r="T238" i="19" s="1"/>
  <c r="S229" i="19"/>
  <c r="T229" i="19" s="1"/>
  <c r="S235" i="19"/>
  <c r="T235" i="19" s="1"/>
  <c r="S232" i="19"/>
  <c r="T232" i="19" s="1"/>
  <c r="S124" i="19"/>
  <c r="T124" i="19" s="1"/>
  <c r="S97" i="19"/>
  <c r="T97" i="19" s="1"/>
  <c r="S175" i="19"/>
  <c r="T175" i="19" s="1"/>
  <c r="L7" i="19"/>
  <c r="M7" i="19" s="1"/>
  <c r="L10" i="19"/>
  <c r="M10" i="19" s="1"/>
  <c r="L13" i="19"/>
  <c r="M13" i="19" s="1"/>
  <c r="L16" i="19"/>
  <c r="M16" i="19" s="1"/>
  <c r="L19" i="19"/>
  <c r="M19" i="19" s="1"/>
  <c r="L22" i="19"/>
  <c r="M22" i="19" s="1"/>
  <c r="L25" i="19"/>
  <c r="M25" i="19" s="1"/>
  <c r="L28" i="19"/>
  <c r="M28" i="19" s="1"/>
  <c r="L31" i="19"/>
  <c r="M31" i="19" s="1"/>
  <c r="L34" i="19"/>
  <c r="M34" i="19" s="1"/>
  <c r="L190" i="19"/>
  <c r="M190" i="19" s="1"/>
  <c r="L193" i="19"/>
  <c r="M193" i="19" s="1"/>
  <c r="L67" i="19"/>
  <c r="M67" i="19" s="1"/>
  <c r="L346" i="19"/>
  <c r="M346" i="19" s="1"/>
  <c r="L349" i="19"/>
  <c r="M349" i="19" s="1"/>
  <c r="L352" i="19"/>
  <c r="M352" i="19" s="1"/>
  <c r="L334" i="19"/>
  <c r="M334" i="19" s="1"/>
  <c r="L142" i="19"/>
  <c r="M142" i="19" s="1"/>
  <c r="L280" i="19"/>
  <c r="M280" i="19" s="1"/>
  <c r="L283" i="19"/>
  <c r="M283" i="19" s="1"/>
  <c r="L286" i="19"/>
  <c r="M286" i="19" s="1"/>
  <c r="L289" i="19"/>
  <c r="M289" i="19" s="1"/>
  <c r="L331" i="19"/>
  <c r="M331" i="19" s="1"/>
  <c r="L292" i="19"/>
  <c r="M292" i="19" s="1"/>
  <c r="L196" i="19"/>
  <c r="M196" i="19" s="1"/>
  <c r="L214" i="19"/>
  <c r="M214" i="19" s="1"/>
  <c r="L199" i="19"/>
  <c r="M199" i="19" s="1"/>
  <c r="L202" i="19"/>
  <c r="M202" i="19" s="1"/>
  <c r="L205" i="19"/>
  <c r="M205" i="19" s="1"/>
  <c r="L61" i="19"/>
  <c r="M61" i="19" s="1"/>
  <c r="L337" i="19"/>
  <c r="M337" i="19" s="1"/>
  <c r="L340" i="19"/>
  <c r="M340" i="19" s="1"/>
  <c r="L268" i="19"/>
  <c r="M268" i="19" s="1"/>
  <c r="L271" i="19"/>
  <c r="M271" i="19" s="1"/>
  <c r="L64" i="19"/>
  <c r="M64" i="19" s="1"/>
  <c r="L208" i="19"/>
  <c r="M208" i="19" s="1"/>
  <c r="L136" i="19"/>
  <c r="M136" i="19" s="1"/>
  <c r="L217" i="19"/>
  <c r="M217" i="19" s="1"/>
  <c r="L154" i="19"/>
  <c r="M154" i="19" s="1"/>
  <c r="L157" i="19"/>
  <c r="M157" i="19" s="1"/>
  <c r="L160" i="19"/>
  <c r="M160" i="19" s="1"/>
  <c r="L163" i="19"/>
  <c r="M163" i="19" s="1"/>
  <c r="L133" i="19"/>
  <c r="M133" i="19" s="1"/>
  <c r="L178" i="19"/>
  <c r="M178" i="19" s="1"/>
  <c r="L70" i="19"/>
  <c r="M70" i="19" s="1"/>
  <c r="L181" i="19"/>
  <c r="M181" i="19" s="1"/>
  <c r="L73" i="19"/>
  <c r="M73" i="19" s="1"/>
  <c r="L76" i="19"/>
  <c r="M76" i="19" s="1"/>
  <c r="L79" i="19"/>
  <c r="M79" i="19" s="1"/>
  <c r="L82" i="19"/>
  <c r="M82" i="19" s="1"/>
  <c r="L223" i="19"/>
  <c r="M223" i="19" s="1"/>
  <c r="L226" i="19"/>
  <c r="M226" i="19" s="1"/>
  <c r="L85" i="19"/>
  <c r="M85" i="19" s="1"/>
  <c r="L88" i="19"/>
  <c r="M88" i="19" s="1"/>
  <c r="L115" i="19"/>
  <c r="M115" i="19" s="1"/>
  <c r="L91" i="19"/>
  <c r="M91" i="19" s="1"/>
  <c r="L211" i="19"/>
  <c r="M211" i="19" s="1"/>
  <c r="L94" i="19"/>
  <c r="M94" i="19" s="1"/>
  <c r="R94" i="19" l="1"/>
  <c r="Q94" i="19"/>
  <c r="Q211" i="19"/>
  <c r="R91" i="19"/>
  <c r="Q91" i="19"/>
  <c r="R115" i="19"/>
  <c r="Q115" i="19"/>
  <c r="R88" i="19"/>
  <c r="Q88" i="19"/>
  <c r="R85" i="19"/>
  <c r="Q85" i="19"/>
  <c r="R226" i="19"/>
  <c r="Q226" i="19"/>
  <c r="R223" i="19"/>
  <c r="Q223" i="19"/>
  <c r="R82" i="19"/>
  <c r="Q82" i="19"/>
  <c r="R79" i="19"/>
  <c r="Q79" i="19"/>
  <c r="R76" i="19"/>
  <c r="Q76" i="19"/>
  <c r="R73" i="19"/>
  <c r="Q73" i="19"/>
  <c r="R181" i="19"/>
  <c r="Q181" i="19"/>
  <c r="R70" i="19"/>
  <c r="Q70" i="19"/>
  <c r="R178" i="19"/>
  <c r="Q178" i="19"/>
  <c r="R133" i="19"/>
  <c r="Q133" i="19"/>
  <c r="R163" i="19"/>
  <c r="Q163" i="19"/>
  <c r="Q160" i="19"/>
  <c r="R157" i="19"/>
  <c r="Q157" i="19"/>
  <c r="R154" i="19"/>
  <c r="Q154" i="19"/>
  <c r="R220" i="19"/>
  <c r="Q220" i="19"/>
  <c r="R217" i="19"/>
  <c r="Q217" i="19"/>
  <c r="R136" i="19"/>
  <c r="Q136" i="19"/>
  <c r="R208" i="19"/>
  <c r="Q208" i="19"/>
  <c r="R64" i="19"/>
  <c r="Q64" i="19"/>
  <c r="R271" i="19"/>
  <c r="Q271" i="19"/>
  <c r="R268" i="19"/>
  <c r="Q268" i="19"/>
  <c r="R340" i="19"/>
  <c r="Q340" i="19"/>
  <c r="R337" i="19"/>
  <c r="Q337" i="19"/>
  <c r="Q61" i="19"/>
  <c r="R205" i="19"/>
  <c r="Q205" i="19"/>
  <c r="R202" i="19"/>
  <c r="Q202" i="19"/>
  <c r="R199" i="19"/>
  <c r="Q199" i="19"/>
  <c r="R214" i="19"/>
  <c r="Q214" i="19"/>
  <c r="R196" i="19"/>
  <c r="Q196" i="19"/>
  <c r="R292" i="19"/>
  <c r="Q292" i="19"/>
  <c r="R331" i="19"/>
  <c r="Q331" i="19"/>
  <c r="R289" i="19"/>
  <c r="Q289" i="19"/>
  <c r="R286" i="19"/>
  <c r="Q286" i="19"/>
  <c r="R283" i="19"/>
  <c r="Q283" i="19"/>
  <c r="R280" i="19"/>
  <c r="Q280" i="19"/>
  <c r="R142" i="19"/>
  <c r="Q142" i="19"/>
  <c r="R334" i="19"/>
  <c r="Q334" i="19"/>
  <c r="R352" i="19"/>
  <c r="Q352" i="19"/>
  <c r="R349" i="19"/>
  <c r="Q349" i="19"/>
  <c r="R346" i="19"/>
  <c r="Q346" i="19"/>
  <c r="R67" i="19"/>
  <c r="Q67" i="19"/>
  <c r="R193" i="19"/>
  <c r="Q193" i="19"/>
  <c r="R190" i="19"/>
  <c r="Q190" i="19"/>
  <c r="R34" i="19"/>
  <c r="Q34" i="19"/>
  <c r="R31" i="19"/>
  <c r="Q31" i="19"/>
  <c r="R28" i="19"/>
  <c r="Q28" i="19"/>
  <c r="R25" i="19"/>
  <c r="Q25" i="19"/>
  <c r="R22" i="19"/>
  <c r="Q22" i="19"/>
  <c r="R19" i="19"/>
  <c r="Q19" i="19"/>
  <c r="R16" i="19"/>
  <c r="Q16" i="19"/>
  <c r="R13" i="19"/>
  <c r="Q13" i="19"/>
  <c r="R10" i="19"/>
  <c r="Q10" i="19"/>
  <c r="R7" i="19"/>
  <c r="Q7" i="19"/>
  <c r="R4" i="19"/>
  <c r="Q4" i="19"/>
  <c r="L4" i="19" l="1"/>
  <c r="M4" i="19" s="1"/>
  <c r="S163" i="19"/>
  <c r="T163" i="19" s="1"/>
  <c r="S181" i="19"/>
  <c r="T181" i="19" s="1"/>
  <c r="S10" i="19"/>
  <c r="T10" i="19" s="1"/>
  <c r="S22" i="19"/>
  <c r="T22" i="19" s="1"/>
  <c r="S34" i="19"/>
  <c r="T34" i="19" s="1"/>
  <c r="S337" i="19"/>
  <c r="T337" i="19" s="1"/>
  <c r="S64" i="19"/>
  <c r="T64" i="19" s="1"/>
  <c r="S220" i="19"/>
  <c r="T220" i="19" s="1"/>
  <c r="S70" i="19"/>
  <c r="T70" i="19" s="1"/>
  <c r="S7" i="19"/>
  <c r="T7" i="19" s="1"/>
  <c r="S19" i="19"/>
  <c r="T19" i="19" s="1"/>
  <c r="S31" i="19"/>
  <c r="T31" i="19" s="1"/>
  <c r="S271" i="19"/>
  <c r="T271" i="19" s="1"/>
  <c r="S217" i="19"/>
  <c r="T217" i="19" s="1"/>
  <c r="S178" i="19"/>
  <c r="T178" i="19" s="1"/>
  <c r="S76" i="19"/>
  <c r="T76" i="19" s="1"/>
  <c r="S4" i="19"/>
  <c r="T4" i="19" s="1"/>
  <c r="S16" i="19"/>
  <c r="T16" i="19" s="1"/>
  <c r="S28" i="19"/>
  <c r="T28" i="19" s="1"/>
  <c r="S61" i="19"/>
  <c r="T61" i="19" s="1"/>
  <c r="S268" i="19"/>
  <c r="T268" i="19" s="1"/>
  <c r="S136" i="19"/>
  <c r="T136" i="19" s="1"/>
  <c r="S157" i="19"/>
  <c r="T157" i="19" s="1"/>
  <c r="S205" i="19"/>
  <c r="T205" i="19" s="1"/>
  <c r="S67" i="19"/>
  <c r="T67" i="19" s="1"/>
  <c r="S334" i="19"/>
  <c r="T334" i="19" s="1"/>
  <c r="S193" i="19"/>
  <c r="T193" i="19" s="1"/>
  <c r="S352" i="19"/>
  <c r="T352" i="19" s="1"/>
  <c r="S283" i="19"/>
  <c r="T283" i="19" s="1"/>
  <c r="S292" i="19"/>
  <c r="T292" i="19" s="1"/>
  <c r="S202" i="19"/>
  <c r="T202" i="19" s="1"/>
  <c r="S349" i="19"/>
  <c r="T349" i="19" s="1"/>
  <c r="S199" i="19"/>
  <c r="T199" i="19" s="1"/>
  <c r="S280" i="19"/>
  <c r="T280" i="19" s="1"/>
  <c r="S286" i="19"/>
  <c r="T286" i="19" s="1"/>
  <c r="S196" i="19"/>
  <c r="T196" i="19" s="1"/>
  <c r="S226" i="19"/>
  <c r="T226" i="19" s="1"/>
  <c r="S91" i="19"/>
  <c r="T91" i="19" s="1"/>
  <c r="S82" i="19"/>
  <c r="T82" i="19" s="1"/>
  <c r="S88" i="19"/>
  <c r="T88" i="19" s="1"/>
  <c r="S79" i="19"/>
  <c r="T79" i="19" s="1"/>
  <c r="S85" i="19"/>
  <c r="T85" i="19" s="1"/>
  <c r="S211" i="19"/>
  <c r="T211" i="19" s="1"/>
  <c r="S13" i="19"/>
  <c r="T13" i="19" s="1"/>
  <c r="S25" i="19"/>
  <c r="T25" i="19" s="1"/>
  <c r="S190" i="19"/>
  <c r="T190" i="19" s="1"/>
  <c r="S346" i="19"/>
  <c r="T346" i="19" s="1"/>
  <c r="S142" i="19"/>
  <c r="T142" i="19" s="1"/>
  <c r="S289" i="19"/>
  <c r="T289" i="19" s="1"/>
  <c r="S214" i="19"/>
  <c r="T214" i="19" s="1"/>
  <c r="S340" i="19"/>
  <c r="T340" i="19" s="1"/>
  <c r="S208" i="19"/>
  <c r="T208" i="19" s="1"/>
  <c r="S154" i="19"/>
  <c r="T154" i="19" s="1"/>
  <c r="S133" i="19"/>
  <c r="T133" i="19" s="1"/>
  <c r="S73" i="19"/>
  <c r="T73" i="19" s="1"/>
  <c r="S223" i="19"/>
  <c r="T223" i="19" s="1"/>
  <c r="S115" i="19"/>
  <c r="T115" i="19" s="1"/>
  <c r="S94" i="19"/>
  <c r="T94" i="19" s="1"/>
  <c r="S331" i="19" l="1"/>
  <c r="T331" i="19" s="1"/>
  <c r="S160" i="19"/>
  <c r="T160"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정윤재</author>
    <author>User</author>
  </authors>
  <commentList>
    <comment ref="B1" authorId="0" shapeId="0" xr:uid="{00000000-0006-0000-0200-000001000000}">
      <text>
        <r>
          <rPr>
            <b/>
            <sz val="9"/>
            <color indexed="81"/>
            <rFont val="돋움"/>
            <family val="3"/>
            <charset val="129"/>
          </rPr>
          <t xml:space="preserve">QA :
</t>
        </r>
        <r>
          <rPr>
            <sz val="9"/>
            <color indexed="81"/>
            <rFont val="돋움"/>
            <family val="3"/>
            <charset val="129"/>
          </rPr>
          <t xml:space="preserve">- Table 양식 변경 필요 : 현재 4.2~6.7항까지 적용하여 작성된 내용은 ISO 14971 구 버전에 따른 작성사항임
자사 절차서 및 ISO 14971(2019) 와 불일치함에 따라 일치되도록 수정부탁드립니다.
</t>
        </r>
        <r>
          <rPr>
            <b/>
            <sz val="9"/>
            <color indexed="81"/>
            <rFont val="돋움"/>
            <family val="3"/>
            <charset val="129"/>
          </rPr>
          <t>MG: 변경함.</t>
        </r>
      </text>
    </comment>
    <comment ref="B16" authorId="1" shapeId="0" xr:uid="{00000000-0006-0000-0200-000002000000}">
      <text>
        <r>
          <rPr>
            <b/>
            <sz val="9"/>
            <color indexed="81"/>
            <rFont val="Tahoma"/>
            <family val="2"/>
          </rPr>
          <t>User:</t>
        </r>
        <r>
          <rPr>
            <sz val="9"/>
            <color indexed="81"/>
            <rFont val="Tahoma"/>
            <family val="2"/>
          </rPr>
          <t xml:space="preserve">
17</t>
        </r>
        <r>
          <rPr>
            <sz val="9"/>
            <color indexed="81"/>
            <rFont val="돋움"/>
            <family val="3"/>
            <charset val="129"/>
          </rPr>
          <t>번과</t>
        </r>
        <r>
          <rPr>
            <sz val="9"/>
            <color indexed="81"/>
            <rFont val="Tahoma"/>
            <family val="2"/>
          </rPr>
          <t xml:space="preserve"> </t>
        </r>
        <r>
          <rPr>
            <sz val="9"/>
            <color indexed="81"/>
            <rFont val="돋움"/>
            <family val="3"/>
            <charset val="129"/>
          </rPr>
          <t>동일</t>
        </r>
        <r>
          <rPr>
            <sz val="9"/>
            <color indexed="81"/>
            <rFont val="Tahoma"/>
            <family val="2"/>
          </rPr>
          <t xml:space="preserve"> </t>
        </r>
        <r>
          <rPr>
            <sz val="9"/>
            <color indexed="81"/>
            <rFont val="돋움"/>
            <family val="3"/>
            <charset val="129"/>
          </rPr>
          <t>중복으로</t>
        </r>
        <r>
          <rPr>
            <sz val="9"/>
            <color indexed="81"/>
            <rFont val="Tahoma"/>
            <family val="2"/>
          </rPr>
          <t xml:space="preserve"> </t>
        </r>
        <r>
          <rPr>
            <sz val="9"/>
            <color indexed="81"/>
            <rFont val="돋움"/>
            <family val="3"/>
            <charset val="129"/>
          </rPr>
          <t>보임</t>
        </r>
      </text>
    </comment>
    <comment ref="B19" authorId="1" shapeId="0" xr:uid="{00000000-0006-0000-0200-000003000000}">
      <text>
        <r>
          <rPr>
            <b/>
            <sz val="9"/>
            <color indexed="81"/>
            <rFont val="Tahoma"/>
            <family val="2"/>
          </rPr>
          <t>User:</t>
        </r>
        <r>
          <rPr>
            <sz val="9"/>
            <color indexed="81"/>
            <rFont val="Tahoma"/>
            <family val="2"/>
          </rPr>
          <t xml:space="preserve">
18</t>
        </r>
        <r>
          <rPr>
            <sz val="9"/>
            <color indexed="81"/>
            <rFont val="돋움"/>
            <family val="3"/>
            <charset val="129"/>
          </rPr>
          <t>번과</t>
        </r>
        <r>
          <rPr>
            <sz val="9"/>
            <color indexed="81"/>
            <rFont val="Tahoma"/>
            <family val="2"/>
          </rPr>
          <t xml:space="preserve"> </t>
        </r>
        <r>
          <rPr>
            <sz val="9"/>
            <color indexed="81"/>
            <rFont val="돋움"/>
            <family val="3"/>
            <charset val="129"/>
          </rPr>
          <t>동일</t>
        </r>
        <r>
          <rPr>
            <sz val="9"/>
            <color indexed="81"/>
            <rFont val="Tahoma"/>
            <family val="2"/>
          </rPr>
          <t xml:space="preserve"> </t>
        </r>
        <r>
          <rPr>
            <sz val="9"/>
            <color indexed="81"/>
            <rFont val="돋움"/>
            <family val="3"/>
            <charset val="129"/>
          </rPr>
          <t>중복으로</t>
        </r>
        <r>
          <rPr>
            <sz val="9"/>
            <color indexed="81"/>
            <rFont val="Tahoma"/>
            <family val="2"/>
          </rPr>
          <t xml:space="preserve"> </t>
        </r>
        <r>
          <rPr>
            <sz val="9"/>
            <color indexed="81"/>
            <rFont val="돋움"/>
            <family val="3"/>
            <charset val="129"/>
          </rPr>
          <t>보임</t>
        </r>
      </text>
    </comment>
    <comment ref="B22" authorId="1" shapeId="0" xr:uid="{00000000-0006-0000-0200-000004000000}">
      <text>
        <r>
          <rPr>
            <b/>
            <sz val="9"/>
            <color indexed="81"/>
            <rFont val="Tahoma"/>
            <family val="2"/>
          </rPr>
          <t>User:</t>
        </r>
        <r>
          <rPr>
            <sz val="9"/>
            <color indexed="81"/>
            <rFont val="Tahoma"/>
            <family val="2"/>
          </rPr>
          <t xml:space="preserve">
18</t>
        </r>
        <r>
          <rPr>
            <sz val="9"/>
            <color indexed="81"/>
            <rFont val="돋움"/>
            <family val="3"/>
            <charset val="129"/>
          </rPr>
          <t>번과</t>
        </r>
        <r>
          <rPr>
            <sz val="9"/>
            <color indexed="81"/>
            <rFont val="Tahoma"/>
            <family val="2"/>
          </rPr>
          <t xml:space="preserve"> </t>
        </r>
        <r>
          <rPr>
            <sz val="9"/>
            <color indexed="81"/>
            <rFont val="돋움"/>
            <family val="3"/>
            <charset val="129"/>
          </rPr>
          <t>동일</t>
        </r>
        <r>
          <rPr>
            <sz val="9"/>
            <color indexed="81"/>
            <rFont val="Tahoma"/>
            <family val="2"/>
          </rPr>
          <t xml:space="preserve"> </t>
        </r>
        <r>
          <rPr>
            <sz val="9"/>
            <color indexed="81"/>
            <rFont val="돋움"/>
            <family val="3"/>
            <charset val="129"/>
          </rPr>
          <t>중복으로</t>
        </r>
        <r>
          <rPr>
            <sz val="9"/>
            <color indexed="81"/>
            <rFont val="Tahoma"/>
            <family val="2"/>
          </rPr>
          <t xml:space="preserve"> </t>
        </r>
        <r>
          <rPr>
            <sz val="9"/>
            <color indexed="81"/>
            <rFont val="돋움"/>
            <family val="3"/>
            <charset val="129"/>
          </rPr>
          <t>보임</t>
        </r>
      </text>
    </comment>
  </commentList>
</comments>
</file>

<file path=xl/sharedStrings.xml><?xml version="1.0" encoding="utf-8"?>
<sst xmlns="http://schemas.openxmlformats.org/spreadsheetml/2006/main" count="2707" uniqueCount="1076">
  <si>
    <t>Inherent Safety
by design</t>
  </si>
  <si>
    <t>Protective
Measures</t>
  </si>
  <si>
    <t>Information
for Safety</t>
  </si>
  <si>
    <t>1. 직원의 자격 및 책임과 권한(Qualification and responsibility and authority of Personnel )</t>
    <phoneticPr fontId="1" type="noConversion"/>
  </si>
  <si>
    <t>위험관리에 참여한 당사 직원에 대한 자격은 아래의 표와 같다.</t>
    <phoneticPr fontId="1" type="noConversion"/>
  </si>
  <si>
    <t>번호</t>
    <phoneticPr fontId="1" type="noConversion"/>
  </si>
  <si>
    <t>이름</t>
  </si>
  <si>
    <t>직위</t>
  </si>
  <si>
    <t>위험관리 업무</t>
    <phoneticPr fontId="1" type="noConversion"/>
  </si>
  <si>
    <t>자격요건</t>
  </si>
  <si>
    <r>
      <t>담당업무 분야 및 경력</t>
    </r>
    <r>
      <rPr>
        <sz val="9"/>
        <color theme="1"/>
        <rFont val="맑은 고딕"/>
        <family val="3"/>
        <charset val="129"/>
        <scheme val="minor"/>
      </rPr>
      <t> </t>
    </r>
  </si>
  <si>
    <t>이성구</t>
    <phoneticPr fontId="1" type="noConversion"/>
  </si>
  <si>
    <t>이사</t>
    <phoneticPr fontId="1" type="noConversion"/>
  </si>
  <si>
    <t>승인자</t>
    <phoneticPr fontId="1" type="noConversion"/>
  </si>
  <si>
    <t>관련 업무 1년 이상의 유경험자</t>
    <phoneticPr fontId="1" type="noConversion"/>
  </si>
  <si>
    <t>Director</t>
    <phoneticPr fontId="1" type="noConversion"/>
  </si>
  <si>
    <t>Those who have had one or more than year(s) of experience in the related work.</t>
    <phoneticPr fontId="1" type="noConversion"/>
  </si>
  <si>
    <r>
      <rPr>
        <sz val="8"/>
        <color rgb="FF000000"/>
        <rFont val="맑은 고딕"/>
        <family val="3"/>
      </rPr>
      <t>Whether pregnant and breastfeeding not checked</t>
    </r>
  </si>
  <si>
    <t>Patient Group: Patients except for person under 18 years of age</t>
  </si>
  <si>
    <r>
      <rPr>
        <sz val="8"/>
        <color rgb="FF000000"/>
        <rFont val="맑은 고딕"/>
        <family val="3"/>
      </rPr>
      <t>Patient's age information not checked</t>
    </r>
  </si>
  <si>
    <r>
      <rPr>
        <sz val="8"/>
        <color rgb="FF000000"/>
        <rFont val="맑은 고딕"/>
        <family val="3"/>
      </rPr>
      <t>Treatment by unintended users (nonprofessionals)</t>
    </r>
  </si>
  <si>
    <t>-Instruction for Use</t>
  </si>
  <si>
    <t xml:space="preserve">- Design Development File : Needle Certificate, etc.
</t>
  </si>
  <si>
    <r>
      <rPr>
        <sz val="8"/>
        <color rgb="FF000000"/>
        <rFont val="맑은 고딕"/>
        <family val="3"/>
      </rPr>
      <t>- Used needles are not discarded and reused.</t>
    </r>
  </si>
  <si>
    <t>-Raw Material and Material Specification (Needle)
-Raw Material Test Report
-Supplier evaluation Report
-Quality Agreement
-Product Specification
-Manufacturing Record
-Finished Product Test Report</t>
  </si>
  <si>
    <r>
      <rPr>
        <sz val="8"/>
        <color rgb="FF000000"/>
        <rFont val="맑은 고딕"/>
        <family val="3"/>
      </rPr>
      <t>- The needle is blocked.</t>
    </r>
    <r>
      <rPr>
        <sz val="8"/>
        <color rgb="FF000000"/>
        <rFont val="맑은 고딕"/>
        <family val="3"/>
      </rPr>
      <t xml:space="preserve">
</t>
    </r>
  </si>
  <si>
    <r>
      <rPr>
        <sz val="8"/>
        <color rgb="FF000000"/>
        <rFont val="맑은 고딕"/>
        <family val="3"/>
      </rPr>
      <t>- Reusing products used in other patients</t>
    </r>
    <r>
      <rPr>
        <sz val="8"/>
        <color rgb="FF000000"/>
        <rFont val="맑은 고딕"/>
        <family val="3"/>
      </rPr>
      <t xml:space="preserve">
</t>
    </r>
  </si>
  <si>
    <r>
      <rPr>
        <sz val="8"/>
        <color rgb="FF000000"/>
        <rFont val="맑은 고딕"/>
        <family val="3"/>
      </rPr>
      <t>- Needles used in patients have not been discarded, causing health care providers to be stabbed.</t>
    </r>
  </si>
  <si>
    <t>-Appearance Standard Set</t>
  </si>
  <si>
    <t>-Design Development File : Appearance Standard and Test Method</t>
  </si>
  <si>
    <t xml:space="preserve">- Setting of IPC items suitable for proper process conditions and major quality characteristics by process
</t>
  </si>
  <si>
    <t xml:space="preserve">-DOE (Design of Experiment) Report
</t>
  </si>
  <si>
    <t>- Setting of IPC items suitable for proper process conditions and major quality characteristics by process</t>
  </si>
  <si>
    <t>-DOE (Design of Experiment) Report</t>
  </si>
  <si>
    <r>
      <rPr>
        <sz val="8"/>
        <color rgb="FF000000"/>
        <rFont val="맑은 고딕"/>
        <family val="3"/>
      </rPr>
      <t>- Injection of the product without identifying patients with an allergy to polysaccharide substances.</t>
    </r>
    <r>
      <rPr>
        <sz val="8"/>
        <color rgb="FF000000"/>
        <rFont val="맑은 고딕"/>
        <family val="3"/>
      </rPr>
      <t xml:space="preserve"> </t>
    </r>
  </si>
  <si>
    <t>-Design Development File: Raw Material Specification
-Biological Safety Evaluation Report</t>
  </si>
  <si>
    <r>
      <rPr>
        <sz val="8"/>
        <color rgb="FF000000"/>
        <rFont val="맑은 고딕"/>
        <family val="3"/>
      </rPr>
      <t>- Use of expired products</t>
    </r>
  </si>
  <si>
    <r>
      <t>Inherent Safety</t>
    </r>
    <r>
      <rPr>
        <sz val="8"/>
        <rFont val="맑은 고딕"/>
        <family val="3"/>
        <charset val="129"/>
      </rPr>
      <t xml:space="preserve">
</t>
    </r>
    <r>
      <rPr>
        <b/>
        <sz val="8"/>
        <rFont val="맑은 고딕"/>
        <family val="3"/>
        <charset val="129"/>
      </rPr>
      <t>by design</t>
    </r>
  </si>
  <si>
    <r>
      <t>Protective</t>
    </r>
    <r>
      <rPr>
        <sz val="8"/>
        <rFont val="맑은 고딕"/>
        <family val="3"/>
        <charset val="129"/>
      </rPr>
      <t xml:space="preserve">
</t>
    </r>
    <r>
      <rPr>
        <b/>
        <sz val="8"/>
        <rFont val="맑은 고딕"/>
        <family val="3"/>
        <charset val="129"/>
      </rPr>
      <t>Measures</t>
    </r>
  </si>
  <si>
    <r>
      <t>Information</t>
    </r>
    <r>
      <rPr>
        <sz val="8"/>
        <rFont val="맑은 고딕"/>
        <family val="3"/>
        <charset val="129"/>
      </rPr>
      <t xml:space="preserve">
</t>
    </r>
    <r>
      <rPr>
        <b/>
        <sz val="8"/>
        <rFont val="맑은 고딕"/>
        <family val="3"/>
        <charset val="129"/>
      </rPr>
      <t>for Safety</t>
    </r>
  </si>
  <si>
    <t>Fault</t>
    <phoneticPr fontId="1" type="noConversion"/>
  </si>
  <si>
    <t>과장</t>
    <phoneticPr fontId="1" type="noConversion"/>
  </si>
  <si>
    <t>검토자</t>
    <phoneticPr fontId="1" type="noConversion"/>
  </si>
  <si>
    <t>관련 업무 1년 이상의 유경험자</t>
    <phoneticPr fontId="1" type="noConversion"/>
  </si>
  <si>
    <t>Manager</t>
    <phoneticPr fontId="1" type="noConversion"/>
  </si>
  <si>
    <t>Reviewer</t>
    <phoneticPr fontId="1" type="noConversion"/>
  </si>
  <si>
    <t>Those who have had one or more than year(s) of experience in the related work</t>
    <phoneticPr fontId="1" type="noConversion"/>
  </si>
  <si>
    <t>박혁수</t>
    <phoneticPr fontId="1" type="noConversion"/>
  </si>
  <si>
    <t>사원</t>
    <phoneticPr fontId="1" type="noConversion"/>
  </si>
  <si>
    <t>수행자</t>
    <phoneticPr fontId="1" type="noConversion"/>
  </si>
  <si>
    <t>Staff</t>
    <phoneticPr fontId="1" type="noConversion"/>
  </si>
  <si>
    <t>Performer</t>
    <phoneticPr fontId="1" type="noConversion"/>
  </si>
  <si>
    <t>Those who have had one or more than year(s) of experience in the related work.</t>
    <phoneticPr fontId="1" type="noConversion"/>
  </si>
  <si>
    <t>조완진</t>
    <phoneticPr fontId="1" type="noConversion"/>
  </si>
  <si>
    <t>팀장</t>
    <phoneticPr fontId="1" type="noConversion"/>
  </si>
  <si>
    <t>Team Leader</t>
    <phoneticPr fontId="1" type="noConversion"/>
  </si>
  <si>
    <t>최윤정</t>
    <phoneticPr fontId="1" type="noConversion"/>
  </si>
  <si>
    <t>위험관리에 참여한 의료 전문가에 대한 자격은 아래의 표와 같다</t>
    <phoneticPr fontId="1" type="noConversion"/>
  </si>
  <si>
    <t>번호</t>
    <phoneticPr fontId="1" type="noConversion"/>
  </si>
  <si>
    <t>위험관리 업무</t>
    <phoneticPr fontId="1" type="noConversion"/>
  </si>
  <si>
    <t>양재혁</t>
    <phoneticPr fontId="1" type="noConversion"/>
  </si>
  <si>
    <t>의학박사</t>
    <phoneticPr fontId="1" type="noConversion"/>
  </si>
  <si>
    <t>의사</t>
    <phoneticPr fontId="1" type="noConversion"/>
  </si>
  <si>
    <t>• 학력
1994-2000 고려대학교 의과대학 의학사
2006-2008 고려대학교 의과대학 의학석사
2008-2011 고려대학교 의과대학 의학박사
• 면허
2000 의사 면허
2008 정형외과 전공의 면허</t>
    <phoneticPr fontId="1" type="noConversion"/>
  </si>
  <si>
    <t>Ph. D</t>
    <phoneticPr fontId="1" type="noConversion"/>
  </si>
  <si>
    <t>Medical doctor (Physician)</t>
    <phoneticPr fontId="1" type="noConversion"/>
  </si>
  <si>
    <t xml:space="preserve">• Education
1994-2000 Korea university Medical School Bachelor of Medicine
2006-2008 Korea university Medical School Master of Medicine
2008-2011 Korea university Medical School Ph.D. Medicine
• Licenses
2000 Physician
2008 Specialist of Orthopedic </t>
    <phoneticPr fontId="1" type="noConversion"/>
  </si>
  <si>
    <t>Approval</t>
    <phoneticPr fontId="1" type="noConversion"/>
  </si>
  <si>
    <t>4.3.3 Foreseeable sequemces or
combination of events
예측가능한 일련의 사례 및 사건의 조합</t>
    <phoneticPr fontId="1" type="noConversion"/>
  </si>
  <si>
    <t>환자의 나이 정보를 확인하지 않음</t>
    <phoneticPr fontId="1" type="noConversion"/>
  </si>
  <si>
    <t xml:space="preserve">- 다당류 물질에 대한 알레르기를 갖고 있는 환자를 확인하지 않고 제품 투여. </t>
    <phoneticPr fontId="4" type="noConversion"/>
  </si>
  <si>
    <t xml:space="preserve">- 주사침이 막힘
</t>
    <phoneticPr fontId="1" type="noConversion"/>
  </si>
  <si>
    <t>의도하지 않은 사용자(비전문가)에 의해 시술</t>
    <phoneticPr fontId="1" type="noConversion"/>
  </si>
  <si>
    <r>
      <rPr>
        <b/>
        <sz val="8"/>
        <rFont val="맑은 고딕"/>
        <family val="3"/>
        <charset val="129"/>
      </rPr>
      <t>사용목적</t>
    </r>
    <r>
      <rPr>
        <sz val="8"/>
        <rFont val="맑은 고딕"/>
        <family val="3"/>
        <charset val="129"/>
      </rPr>
      <t xml:space="preserve"> 
</t>
    </r>
    <r>
      <rPr>
        <sz val="8"/>
        <color rgb="FF0000FF"/>
        <rFont val="맑은 고딕"/>
        <family val="3"/>
        <charset val="129"/>
      </rPr>
      <t>제품은 무릎 골관절염 치료를 위해 사용되며 무릎 관절염의 통증을 완화시키기 위해 사용됩니다.</t>
    </r>
    <phoneticPr fontId="1" type="noConversion"/>
  </si>
  <si>
    <r>
      <rPr>
        <sz val="8"/>
        <color rgb="FF0000CC"/>
        <rFont val="맑은 고딕"/>
        <family val="3"/>
        <charset val="129"/>
      </rPr>
      <t>환자군 : 성인
(</t>
    </r>
    <r>
      <rPr>
        <b/>
        <sz val="8"/>
        <color rgb="FF0000CC"/>
        <rFont val="맑은 고딕"/>
        <family val="3"/>
        <charset val="129"/>
      </rPr>
      <t>임부, 수유부</t>
    </r>
    <r>
      <rPr>
        <sz val="8"/>
        <color rgb="FF0000CC"/>
        <rFont val="맑은 고딕"/>
        <family val="3"/>
        <charset val="129"/>
      </rPr>
      <t xml:space="preserve"> 18세 미만의 어린이 제외)</t>
    </r>
    <phoneticPr fontId="1" type="noConversion"/>
  </si>
  <si>
    <t>환자군 : 성인
(임부, 수유부 18세 미만의 어린이 제외)</t>
    <phoneticPr fontId="1" type="noConversion"/>
  </si>
  <si>
    <t xml:space="preserve">환자군 : 성인
(임부, 수유부, 18세 미만의 어린이 제외)
</t>
    <phoneticPr fontId="1" type="noConversion"/>
  </si>
  <si>
    <t>-사용목적에 맞지 않는 다른 부위에 시술</t>
    <phoneticPr fontId="1" type="noConversion"/>
  </si>
  <si>
    <t>-Injection to other body for the unintended use</t>
    <phoneticPr fontId="1" type="noConversion"/>
  </si>
  <si>
    <t/>
  </si>
  <si>
    <r>
      <rPr>
        <sz val="8"/>
        <color rgb="FF0000FF"/>
        <rFont val="맑은 고딕"/>
        <family val="3"/>
        <charset val="129"/>
      </rPr>
      <t>본 제품은 관절강 이식에 적합한 엔도톡신 기준을 만족하여야 한다</t>
    </r>
    <r>
      <rPr>
        <sz val="8"/>
        <rFont val="맑은 고딕"/>
        <family val="3"/>
        <charset val="129"/>
      </rPr>
      <t>.</t>
    </r>
    <phoneticPr fontId="1" type="noConversion"/>
  </si>
  <si>
    <t>본 제품은 관절강 이식에 적합한 엔도톡신 기준을 만족하여야 한다.</t>
    <phoneticPr fontId="1" type="noConversion"/>
  </si>
  <si>
    <t>본 제품은 관절강 이식에 적합한 엔도톡신 기준을 만족하여야 한다</t>
    <phoneticPr fontId="1" type="noConversion"/>
  </si>
  <si>
    <t>Pseudosepsis arthritis, Septic arthritis, Fever, Rash, Effusion</t>
    <phoneticPr fontId="1" type="noConversion"/>
  </si>
  <si>
    <r>
      <rPr>
        <sz val="8"/>
        <color rgb="FF0000FF"/>
        <rFont val="맑은 고딕"/>
        <family val="3"/>
        <charset val="129"/>
      </rPr>
      <t>무릎 관절강에 겔이 이식되어 6개월 이상 유지된다</t>
    </r>
    <r>
      <rPr>
        <sz val="8"/>
        <rFont val="맑은 고딕"/>
        <family val="3"/>
        <charset val="129"/>
      </rPr>
      <t>,</t>
    </r>
    <phoneticPr fontId="1" type="noConversion"/>
  </si>
  <si>
    <t>Gel is injected in the knee joint and maintained for not less than 6 months</t>
    <phoneticPr fontId="1" type="noConversion"/>
  </si>
  <si>
    <t>Function - Loss(Re-Injection)</t>
    <phoneticPr fontId="1" type="noConversion"/>
  </si>
  <si>
    <t>제품이 관절강에 생물학적으로 안전 해야한다</t>
    <phoneticPr fontId="1" type="noConversion"/>
  </si>
  <si>
    <t xml:space="preserve">제품이 관절강에 생물학적으로 안전 해야한다. </t>
    <phoneticPr fontId="4" type="noConversion"/>
  </si>
  <si>
    <t>무릎 관절강에 겔이 이식되어 6개월 이상 유지된다,</t>
    <phoneticPr fontId="4" type="noConversion"/>
  </si>
  <si>
    <t xml:space="preserve">Function - Loss(Re-Injection)
</t>
    <phoneticPr fontId="1" type="noConversion"/>
  </si>
  <si>
    <t>본 제품은 단순 시술자 (의사)에 의한 주입력(물리적 힘)의 영향을 받는 기기이다.</t>
    <phoneticPr fontId="1" type="noConversion"/>
  </si>
  <si>
    <t>Effusion, Tenderness, Joint stiffness, Arthralgia, Dysfunction (Transient)( Difficulty ambulating, Weight bearing difficulty, Discomfort, Could not bend the knee, Limping)</t>
    <phoneticPr fontId="1" type="noConversion"/>
  </si>
  <si>
    <t>-임부, 수유부 여부를 확인하지 않음</t>
    <phoneticPr fontId="1" type="noConversion"/>
  </si>
  <si>
    <t>사용자: 시술은 정형외과 또는 관련된 전문 의사에 의해 행해져야 한다.</t>
    <phoneticPr fontId="1" type="noConversion"/>
  </si>
  <si>
    <t>멸균되어 제공되는 일회용 의료기기임</t>
    <phoneticPr fontId="1" type="noConversion"/>
  </si>
  <si>
    <t>주사침 포장 또는 주사기 파손 시 폐기해야 한다</t>
    <phoneticPr fontId="1" type="noConversion"/>
  </si>
  <si>
    <t>- 포장 시 주사침이 블리스터 패키지에 동봉되지 않음</t>
    <phoneticPr fontId="1" type="noConversion"/>
  </si>
  <si>
    <t>- 주입 전 환부 소독을 하지 않아 환자의 주입 부위가 오염되어 있음</t>
    <phoneticPr fontId="1" type="noConversion"/>
  </si>
  <si>
    <t>제품의 사용방법 및 주의사항 등이 기재된 사용설명서를 제공한다</t>
    <phoneticPr fontId="1" type="noConversion"/>
  </si>
  <si>
    <r>
      <t>- 시술자가 무균 장갑을 착용하지</t>
    </r>
    <r>
      <rPr>
        <sz val="8"/>
        <color rgb="FF0000FF"/>
        <rFont val="맑은 고딕"/>
        <family val="3"/>
        <charset val="129"/>
      </rPr>
      <t xml:space="preserve"> 않거나 무균 장갑을 재사용함</t>
    </r>
    <phoneticPr fontId="1" type="noConversion"/>
  </si>
  <si>
    <t>-사용된 주사침이 폐기되지 않고 재사용됨</t>
    <phoneticPr fontId="1" type="noConversion"/>
  </si>
  <si>
    <t>이 제품은 일회용으로 사용되며, 주사기와 주사침을 재사용 또는 재멸균하지 마십시오.</t>
    <phoneticPr fontId="1" type="noConversion"/>
  </si>
  <si>
    <t>동봉된 주사침(23G)을 연결하여 사용해야 한다.</t>
    <phoneticPr fontId="1" type="noConversion"/>
  </si>
  <si>
    <t>동봉된 주사침(23G)을 연결하여 사용해야 한다</t>
    <phoneticPr fontId="1" type="noConversion"/>
  </si>
  <si>
    <t>-주사기와 주사침의 체결이 불완전하게 됨</t>
    <phoneticPr fontId="1" type="noConversion"/>
  </si>
  <si>
    <t xml:space="preserve">멸균되어 제공되는 일회용 의료기기임
겔 : 스팀 멸균(121~123℃ 20분)
</t>
    <phoneticPr fontId="1" type="noConversion"/>
  </si>
  <si>
    <t xml:space="preserve">주사침 포장 또는 주사기 파손 시 폐기해야 한다 </t>
    <phoneticPr fontId="1" type="noConversion"/>
  </si>
  <si>
    <t>주사침 포장 또는 주사기 파손 시 폐기해야 한다.</t>
    <phoneticPr fontId="1" type="noConversion"/>
  </si>
  <si>
    <t>-환자에 사용된 주사침이 폐기되지 않아 의료인이 찔리는 상황 발생</t>
    <phoneticPr fontId="4" type="noConversion"/>
  </si>
  <si>
    <t>-재멸균 금지에 대한 내용이 라벨 및 설명서에 누락되어, 재멸균을  하여 점성과 탄성이 낮아짐</t>
    <phoneticPr fontId="1" type="noConversion"/>
  </si>
  <si>
    <t>- 개봉 즉시 사용해야한다는 사항이 설명서에서 누락됨</t>
    <phoneticPr fontId="1" type="noConversion"/>
  </si>
  <si>
    <t>DVS의 잔류량을 관리해야한다(2ppm 이하)</t>
    <phoneticPr fontId="4" type="noConversion"/>
  </si>
  <si>
    <t>본 제품은 관절강 이식에 적합한 엔도톡신 기준을 만족하여야 한다.</t>
    <phoneticPr fontId="4" type="noConversion"/>
  </si>
  <si>
    <t>최대권장투여량 : 2mL</t>
    <phoneticPr fontId="4" type="noConversion"/>
  </si>
  <si>
    <t>무릎 관절강에 겔이 이식되어 6개월 이상 유지된다,.</t>
    <phoneticPr fontId="4" type="noConversion"/>
  </si>
  <si>
    <t xml:space="preserve">본 제품은 관절강 이식에 적합한 엔도톡신 기준을 만족하여야 한다 </t>
    <phoneticPr fontId="4" type="noConversion"/>
  </si>
  <si>
    <t>무릎 관절강에 겔이 이식되어 6개월 이상 유지된다,)</t>
    <phoneticPr fontId="4" type="noConversion"/>
  </si>
  <si>
    <t xml:space="preserve">-운송 중 시린지  파손으로 멸균 파기 </t>
    <phoneticPr fontId="1" type="noConversion"/>
  </si>
  <si>
    <t>-다른 환자에 사용한 제품을 재사용함</t>
    <phoneticPr fontId="4" type="noConversion"/>
  </si>
  <si>
    <t>가교제 : DVS</t>
    <phoneticPr fontId="4" type="noConversion"/>
  </si>
  <si>
    <t xml:space="preserve">설계에서 설정된 조성비로 제품이 이루어져야 한다 </t>
    <phoneticPr fontId="4" type="noConversion"/>
  </si>
  <si>
    <t>교차감염을 방지하기 위하여,  사용 후, 사용한 주사기, 주사침, 투여 후 남은 겔은 적절한 의료용폐기물처리 절차(예, 국가나 지역에 따른 규정)에 따라 폐기하여야 합니다.</t>
    <phoneticPr fontId="1" type="noConversion"/>
  </si>
  <si>
    <t>사용자의 재멸균 등의 다른 멸균은 허용하지 않는다.</t>
    <phoneticPr fontId="1" type="noConversion"/>
  </si>
  <si>
    <t>62</t>
    <phoneticPr fontId="1" type="noConversion"/>
  </si>
  <si>
    <t>원재료: 히알루론산나트륨</t>
    <phoneticPr fontId="4" type="noConversion"/>
  </si>
  <si>
    <t>- 시술자의 미숙지로 인해 활액, 삼출액이 남아있는곳에 시술함</t>
    <phoneticPr fontId="1" type="noConversion"/>
  </si>
  <si>
    <r>
      <rPr>
        <sz val="8"/>
        <color rgb="FF0000CC"/>
        <rFont val="맑은 고딕"/>
        <family val="3"/>
        <charset val="129"/>
      </rPr>
      <t xml:space="preserve">제품의 사용방법 및 주의사항 등이 기재된 사용설명서를 제공한다
</t>
    </r>
    <r>
      <rPr>
        <sz val="8"/>
        <color rgb="FF00B050"/>
        <rFont val="맑은 고딕"/>
        <family val="3"/>
        <charset val="129"/>
      </rPr>
      <t xml:space="preserve">
</t>
    </r>
    <r>
      <rPr>
        <sz val="8"/>
        <color rgb="FF0000CC"/>
        <rFont val="맑은 고딕"/>
        <family val="3"/>
        <charset val="129"/>
      </rPr>
      <t xml:space="preserve">
</t>
    </r>
    <phoneticPr fontId="1" type="noConversion"/>
  </si>
  <si>
    <t>원재료: 히알루론산나트륨</t>
    <phoneticPr fontId="1" type="noConversion"/>
  </si>
  <si>
    <t>주성분(Raw material) : HA</t>
    <phoneticPr fontId="1" type="noConversion"/>
  </si>
  <si>
    <t>DVS의 잔류량을 관리해야한다(2ppm 이하)</t>
    <phoneticPr fontId="1" type="noConversion"/>
  </si>
  <si>
    <t xml:space="preserve">
DVS의 잔류량을 관리해야한다(2ppm 이하)</t>
    <phoneticPr fontId="1" type="noConversion"/>
  </si>
  <si>
    <t>최대권장투여량 : 2mL</t>
    <phoneticPr fontId="1" type="noConversion"/>
  </si>
  <si>
    <t>유효기간은 3년이다</t>
    <phoneticPr fontId="1" type="noConversion"/>
  </si>
  <si>
    <t xml:space="preserve">본 제품의 유효기간은 제조일로 부터 3년이다. </t>
    <phoneticPr fontId="1" type="noConversion"/>
  </si>
  <si>
    <t>본 제품의 유효기간은 제조일로부터 3년이다.</t>
    <phoneticPr fontId="1" type="noConversion"/>
  </si>
  <si>
    <r>
      <t xml:space="preserve">- </t>
    </r>
    <r>
      <rPr>
        <sz val="8"/>
        <color rgb="FF0000FF"/>
        <rFont val="맑은 고딕"/>
        <family val="3"/>
        <charset val="129"/>
      </rPr>
      <t>사용자의 미숙지로 인해</t>
    </r>
    <r>
      <rPr>
        <sz val="8"/>
        <color rgb="FF00B050"/>
        <rFont val="맑은 고딕"/>
        <family val="3"/>
        <charset val="129"/>
      </rPr>
      <t xml:space="preserve"> </t>
    </r>
    <r>
      <rPr>
        <sz val="8"/>
        <rFont val="맑은 고딕"/>
        <family val="3"/>
        <charset val="129"/>
      </rPr>
      <t>유효기간이 지난 제품을 사용함</t>
    </r>
    <phoneticPr fontId="1" type="noConversion"/>
  </si>
  <si>
    <t>본 제품의 라벨에는 부피에 대한 눈금이 표시되어 있다.</t>
    <phoneticPr fontId="1" type="noConversion"/>
  </si>
  <si>
    <t>무릎 관절강에 겔이 이식되어 6개월 이상 유지된다,.</t>
    <phoneticPr fontId="1" type="noConversion"/>
  </si>
  <si>
    <t xml:space="preserve"> 제품을 상온보다 낮 온도에서 보관했을 경우, 사용 전에 실온에서 최소15분 동안보관 후 투여해야 한다. </t>
    <phoneticPr fontId="1" type="noConversion"/>
  </si>
  <si>
    <r>
      <t>.-</t>
    </r>
    <r>
      <rPr>
        <b/>
        <sz val="8"/>
        <color rgb="FF0000FF"/>
        <rFont val="맑은 고딕"/>
        <family val="3"/>
        <charset val="129"/>
      </rPr>
      <t>사용자의 동봉된 IFU의 미숙지로인하여</t>
    </r>
    <r>
      <rPr>
        <sz val="8"/>
        <color rgb="FF00B050"/>
        <rFont val="맑은 고딕"/>
        <family val="3"/>
        <charset val="129"/>
      </rPr>
      <t xml:space="preserve"> </t>
    </r>
    <r>
      <rPr>
        <sz val="8"/>
        <rFont val="맑은 고딕"/>
        <family val="3"/>
        <charset val="129"/>
      </rPr>
      <t>제품이 실온이 아닌 상태에서 주입이 이루어짐</t>
    </r>
    <phoneticPr fontId="1" type="noConversion"/>
  </si>
  <si>
    <r>
      <t>-</t>
    </r>
    <r>
      <rPr>
        <b/>
        <u/>
        <sz val="8"/>
        <color rgb="FF0000FF"/>
        <rFont val="맑은 고딕"/>
        <family val="3"/>
        <charset val="129"/>
      </rPr>
      <t>사용자의 동봉된 IFU의 미숙지로인하여</t>
    </r>
    <r>
      <rPr>
        <sz val="8"/>
        <rFont val="맑은 고딕"/>
        <family val="3"/>
        <charset val="129"/>
      </rPr>
      <t xml:space="preserve"> 진료실이 아닌 산만한 환경에서 시술이 이루어짐</t>
    </r>
    <phoneticPr fontId="1" type="noConversion"/>
  </si>
  <si>
    <t>직접접촉 포장용기(Direct package)인 주사기는 겔에 적합해야한다.(유리주사기)</t>
    <phoneticPr fontId="1" type="noConversion"/>
  </si>
  <si>
    <t>- 시술자의 권장량 미숙지로 인해 시술부위에 최대용량인 2mL을 초과하여 주입됨.</t>
    <phoneticPr fontId="1" type="noConversion"/>
  </si>
  <si>
    <r>
      <rPr>
        <b/>
        <sz val="8"/>
        <color rgb="FF0000FF"/>
        <rFont val="맑은 고딕"/>
        <family val="3"/>
        <charset val="129"/>
      </rPr>
      <t>[상호작용]</t>
    </r>
    <r>
      <rPr>
        <sz val="8"/>
        <color rgb="FF0000FF"/>
        <rFont val="맑은 고딕"/>
        <family val="3"/>
        <charset val="129"/>
      </rPr>
      <t xml:space="preserve">
• 히알루론산은 4급 암모늄염 제제와 반응하여 침전될 수 있으므로 주입 전 소독 시 4급 암모늄염이 포함된 소독제를 사용하지 마십시오.
</t>
    </r>
    <phoneticPr fontId="1" type="noConversion"/>
  </si>
  <si>
    <r>
      <rPr>
        <sz val="8"/>
        <color rgb="FF0000FF"/>
        <rFont val="맑은 고딕"/>
        <family val="3"/>
        <charset val="129"/>
      </rPr>
      <t xml:space="preserve">사용자가 동봉된 사용설명서의 미숙지로 인해 </t>
    </r>
    <r>
      <rPr>
        <sz val="8"/>
        <rFont val="맑은 고딕"/>
        <family val="3"/>
        <charset val="129"/>
      </rPr>
      <t>확인되지 않은 의약품 또는 의료기기와 병용투여 함</t>
    </r>
    <phoneticPr fontId="1" type="noConversion"/>
  </si>
  <si>
    <t xml:space="preserve">
[상호작용]
• 히알루론산은 비타민 C 또는 비타민 E로 인하여 빠르게 분해될 수 있으므로 함께 사용하지 마십시오.</t>
    <phoneticPr fontId="1" type="noConversion"/>
  </si>
  <si>
    <t>[상호작용]
• 히알루론산은 비타민 C 또는 비타민 E로 인하여 빠르게 분해될 수 있으므로 함께 사용하지 마십시오.</t>
    <phoneticPr fontId="1" type="noConversion"/>
  </si>
  <si>
    <r>
      <rPr>
        <b/>
        <sz val="8"/>
        <color rgb="FF0000FF"/>
        <rFont val="맑은 고딕"/>
        <family val="3"/>
        <charset val="129"/>
      </rPr>
      <t>[금기사항]</t>
    </r>
    <r>
      <rPr>
        <sz val="8"/>
        <color rgb="FF0000FF"/>
        <rFont val="맑은 고딕"/>
        <family val="3"/>
        <charset val="129"/>
      </rPr>
      <t xml:space="preserve">
• 투여 관절부위에 피부질환 또는 감염이 있는 환자
</t>
    </r>
    <phoneticPr fontId="1" type="noConversion"/>
  </si>
  <si>
    <r>
      <rPr>
        <b/>
        <sz val="8"/>
        <color rgb="FF0000FF"/>
        <rFont val="맑은 고딕"/>
        <family val="3"/>
        <charset val="129"/>
      </rPr>
      <t>[금기사항]</t>
    </r>
    <r>
      <rPr>
        <sz val="8"/>
        <color rgb="FF0000FF"/>
        <rFont val="맑은 고딕"/>
        <family val="3"/>
        <charset val="129"/>
      </rPr>
      <t xml:space="preserve">
• 간장애 또는 그 병력이 있는 환자</t>
    </r>
    <phoneticPr fontId="1" type="noConversion"/>
  </si>
  <si>
    <r>
      <rPr>
        <b/>
        <sz val="8"/>
        <color rgb="FF0000FF"/>
        <rFont val="맑은 고딕"/>
        <family val="3"/>
        <charset val="129"/>
      </rPr>
      <t>[금기사항]</t>
    </r>
    <r>
      <rPr>
        <sz val="8"/>
        <color rgb="FF0000FF"/>
        <rFont val="맑은 고딕"/>
        <family val="3"/>
        <charset val="129"/>
      </rPr>
      <t xml:space="preserve">
• 이 약의 성분에 대해 과민반응의 병력이 있는 환자</t>
    </r>
    <phoneticPr fontId="1" type="noConversion"/>
  </si>
  <si>
    <r>
      <rPr>
        <b/>
        <sz val="8"/>
        <color rgb="FF0000FF"/>
        <rFont val="맑은 고딕"/>
        <family val="3"/>
        <charset val="129"/>
      </rPr>
      <t>[금기사항]</t>
    </r>
    <r>
      <rPr>
        <sz val="8"/>
        <color rgb="FF0000FF"/>
        <rFont val="맑은 고딕"/>
        <family val="3"/>
        <charset val="129"/>
      </rPr>
      <t xml:space="preserve">
• 임부, 수유부
</t>
    </r>
    <phoneticPr fontId="1" type="noConversion"/>
  </si>
  <si>
    <r>
      <rPr>
        <b/>
        <sz val="8"/>
        <color rgb="FF0000FF"/>
        <rFont val="맑은 고딕"/>
        <family val="3"/>
        <charset val="129"/>
      </rPr>
      <t>[금기사항]</t>
    </r>
    <r>
      <rPr>
        <sz val="8"/>
        <color rgb="FF0000FF"/>
        <rFont val="맑은 고딕"/>
        <family val="3"/>
        <charset val="129"/>
      </rPr>
      <t xml:space="preserve">
• 류마티스성 관절염 환자
</t>
    </r>
    <phoneticPr fontId="1" type="noConversion"/>
  </si>
  <si>
    <r>
      <rPr>
        <b/>
        <sz val="8"/>
        <color rgb="FF0000FF"/>
        <rFont val="맑은 고딕"/>
        <family val="3"/>
        <charset val="129"/>
      </rPr>
      <t>[금기사항]</t>
    </r>
    <r>
      <rPr>
        <sz val="8"/>
        <color rgb="FF0000FF"/>
        <rFont val="맑은 고딕"/>
        <family val="3"/>
        <charset val="129"/>
      </rPr>
      <t xml:space="preserve">
• 18세 미만의 어린이
</t>
    </r>
    <phoneticPr fontId="1" type="noConversion"/>
  </si>
  <si>
    <r>
      <rPr>
        <b/>
        <sz val="8"/>
        <color rgb="FF0000FF"/>
        <rFont val="맑은 고딕"/>
        <family val="3"/>
        <charset val="129"/>
      </rPr>
      <t>[경고]</t>
    </r>
    <r>
      <rPr>
        <sz val="8"/>
        <color rgb="FF0000FF"/>
        <rFont val="맑은 고딕"/>
        <family val="3"/>
        <charset val="129"/>
      </rPr>
      <t xml:space="preserve">
•  사용목적 외 투여
</t>
    </r>
    <phoneticPr fontId="1" type="noConversion"/>
  </si>
  <si>
    <r>
      <rPr>
        <b/>
        <sz val="8"/>
        <color rgb="FF0000FF"/>
        <rFont val="맑은 고딕"/>
        <family val="3"/>
        <charset val="129"/>
      </rPr>
      <t>[경고]</t>
    </r>
    <r>
      <rPr>
        <sz val="8"/>
        <color rgb="FF0000FF"/>
        <rFont val="맑은 고딕"/>
        <family val="3"/>
        <charset val="129"/>
      </rPr>
      <t xml:space="preserve">
•  혈관 내 투여하지 마십시오
</t>
    </r>
    <phoneticPr fontId="1" type="noConversion"/>
  </si>
  <si>
    <t xml:space="preserve">환경영향에 민감하지는 않으나 사용 전 밀봉상태를 유지하고 얼지 않는 사용, 운송, 보관 시 실온(1~30℃)에서 보관하여야 한다.
</t>
    <phoneticPr fontId="1" type="noConversion"/>
  </si>
  <si>
    <t>.-내용이 검증되지 않은 사용설명서가 제공되어, 제품이 실온이 아닌 상태에서 주입이 이루어짐</t>
    <phoneticPr fontId="1" type="noConversion"/>
  </si>
  <si>
    <t>사용환경  : • 시술은 시술실 또는 그 이상의 환경에서 시술하여야 합니다.</t>
    <phoneticPr fontId="1" type="noConversion"/>
  </si>
  <si>
    <t xml:space="preserve">사용방법: 주사침의  침윤작용을 통하여 무릎 관절강 내 투여된다.  </t>
    <phoneticPr fontId="1" type="noConversion"/>
  </si>
  <si>
    <t>무릎 관절강에 겔이 이식되어 6개월 이상 유지된다,</t>
    <phoneticPr fontId="1" type="noConversion"/>
  </si>
  <si>
    <t>27</t>
    <phoneticPr fontId="1" type="noConversion"/>
  </si>
  <si>
    <t>33</t>
    <phoneticPr fontId="1" type="noConversion"/>
  </si>
  <si>
    <t>39</t>
    <phoneticPr fontId="1" type="noConversion"/>
  </si>
  <si>
    <t>45</t>
    <phoneticPr fontId="1" type="noConversion"/>
  </si>
  <si>
    <t>46</t>
    <phoneticPr fontId="1" type="noConversion"/>
  </si>
  <si>
    <r>
      <t xml:space="preserve">
</t>
    </r>
    <r>
      <rPr>
        <b/>
        <sz val="8"/>
        <color rgb="FF0000FF"/>
        <rFont val="맑은 고딕"/>
        <family val="3"/>
        <charset val="129"/>
      </rPr>
      <t>[경고]</t>
    </r>
    <r>
      <rPr>
        <sz val="8"/>
        <color rgb="FF0000FF"/>
        <rFont val="맑은 고딕"/>
        <family val="3"/>
        <charset val="129"/>
      </rPr>
      <t xml:space="preserve">
•  사용목적 외 투여
</t>
    </r>
    <phoneticPr fontId="1" type="noConversion"/>
  </si>
  <si>
    <t xml:space="preserve"> Hyuk Soo Park</t>
    <phoneticPr fontId="1" type="noConversion"/>
  </si>
  <si>
    <t>Sung Bong Hwang</t>
    <phoneticPr fontId="1" type="noConversion"/>
  </si>
  <si>
    <t>-The needle is not enclosed in package.</t>
    <phoneticPr fontId="1" type="noConversion"/>
  </si>
  <si>
    <t>- The injection site(human body) is not disinfected with alcohol or other appropriate disinfection solution prior to administration.</t>
    <phoneticPr fontId="1" type="noConversion"/>
  </si>
  <si>
    <t>The needle and/or syringe inlet is touched with hands(not sterile).</t>
    <phoneticPr fontId="1" type="noConversion"/>
  </si>
  <si>
    <t>- Orthopedist or related the doctor, do not use the new sterilized gloves or reuse the sterlized gloves</t>
    <phoneticPr fontId="1" type="noConversion"/>
  </si>
  <si>
    <t xml:space="preserve">-Supplier evaluation Report
-Quality Agreement
</t>
    <phoneticPr fontId="1" type="noConversion"/>
  </si>
  <si>
    <t>-The assembly syringe and needle is incompleted</t>
    <phoneticPr fontId="1" type="noConversion"/>
  </si>
  <si>
    <t xml:space="preserve">-Setting Packaging Method Standard
-Packaging Method Verification
-Outgoing Inspection
</t>
    <phoneticPr fontId="1" type="noConversion"/>
  </si>
  <si>
    <t xml:space="preserve">-Packaging Record
-Packaging Process Validation
-Finished Product Test Report
</t>
    <phoneticPr fontId="1" type="noConversion"/>
  </si>
  <si>
    <r>
      <rPr>
        <sz val="8"/>
        <color rgb="FF000000"/>
        <rFont val="맑은 고딕"/>
        <family val="3"/>
      </rPr>
      <t xml:space="preserve">- Failure of sterilization due to </t>
    </r>
    <r>
      <rPr>
        <sz val="8"/>
        <color rgb="FF0000FF"/>
        <rFont val="맑은 고딕"/>
        <family val="3"/>
        <charset val="129"/>
      </rPr>
      <t>syringe</t>
    </r>
    <r>
      <rPr>
        <sz val="8"/>
        <color rgb="FF000000"/>
        <rFont val="맑은 고딕"/>
        <family val="3"/>
      </rPr>
      <t xml:space="preserve"> damage during transportation
</t>
    </r>
    <phoneticPr fontId="1" type="noConversion"/>
  </si>
  <si>
    <t>-재멸균 금지에 대한 내용이 라벨 및 설명서에 누락되어, 재멸균을  하여 점성과 탄성이 낮아짐</t>
  </si>
  <si>
    <t>- 개봉 즉시 사용해야한다는 사항이 설명서에서 누락됨</t>
  </si>
  <si>
    <t xml:space="preserve">-Material Final (Plan) Review
-Incoming Inspection
</t>
    <phoneticPr fontId="1" type="noConversion"/>
  </si>
  <si>
    <t xml:space="preserve">-Supplier evaluation
</t>
    <phoneticPr fontId="1" type="noConversion"/>
  </si>
  <si>
    <t xml:space="preserve">-Perform the operation after checking the status of the equipment before work.
-Outgoing Inspection
</t>
    <phoneticPr fontId="1" type="noConversion"/>
  </si>
  <si>
    <t>- 시술자의 미숙지로 인해 활액, 삼출액이 남아있는곳에 시술함</t>
  </si>
  <si>
    <t xml:space="preserve">Pain, Erythema, Redness, Swelling, Warmth, Hypersensitivity one of the components, Fever, Inflammation
</t>
    <phoneticPr fontId="1" type="noConversion"/>
  </si>
  <si>
    <t>-Setting the specification of Raw Material and Material
-Supplier evaluation
-Incoming Inspection</t>
    <phoneticPr fontId="1" type="noConversion"/>
  </si>
  <si>
    <t xml:space="preserve">-Raw Material and Material Specification
-Supplier evaluation Report
-Quality Agreement
-Raw Material Test Report
</t>
    <phoneticPr fontId="1" type="noConversion"/>
  </si>
  <si>
    <t xml:space="preserve">-Design Development File: Storage condition of HA
</t>
    <phoneticPr fontId="1" type="noConversion"/>
  </si>
  <si>
    <t>-Design Development File:  the specification and test method of HA</t>
    <phoneticPr fontId="1" type="noConversion"/>
  </si>
  <si>
    <t xml:space="preserve">-Design Development File: Package material(Syringe) Test Standard and Method </t>
    <phoneticPr fontId="1" type="noConversion"/>
  </si>
  <si>
    <r>
      <t xml:space="preserve">- More than 2ml, the maximum dose, has been injected into the treatment area due to the </t>
    </r>
    <r>
      <rPr>
        <sz val="8"/>
        <color rgb="FF0000FF"/>
        <rFont val="맑은 고딕"/>
        <family val="3"/>
        <charset val="129"/>
      </rPr>
      <t>user(Orthopedist or related the doctor)</t>
    </r>
    <r>
      <rPr>
        <sz val="8"/>
        <color rgb="FF000000"/>
        <rFont val="맑은 고딕"/>
        <family val="3"/>
      </rPr>
      <t>’s unfamiliarity with the recommended dose.</t>
    </r>
    <phoneticPr fontId="1" type="noConversion"/>
  </si>
  <si>
    <t xml:space="preserve">-Checklist of Packaging Material for Medical device
-Instruction for Use and Incoming Inspection Report
-Finished Product Test Report
</t>
    <phoneticPr fontId="1" type="noConversion"/>
  </si>
  <si>
    <t>-사용자가 동봉된 사용설명서의 미숙지로 인해 확인되지 않은 의약품 또는 의료기기와 병용투여 함</t>
    <phoneticPr fontId="1" type="noConversion"/>
  </si>
  <si>
    <t>Function - Loss(Re-Injection), inflammation, Pain</t>
    <phoneticPr fontId="1" type="noConversion"/>
  </si>
  <si>
    <t xml:space="preserve">'-Material Final (Plan) Review
-Incoming Inspection
</t>
    <phoneticPr fontId="1" type="noConversion"/>
  </si>
  <si>
    <t xml:space="preserve">'-Checklist of Packaging Material for Medical device
-Instruction for Use and Incoming Inspection Report
</t>
    <phoneticPr fontId="1" type="noConversion"/>
  </si>
  <si>
    <t xml:space="preserve">-Checklist of Packaging Material for Medical device
-Instruction for Use and Incoming Inspection Report
</t>
    <phoneticPr fontId="1" type="noConversion"/>
  </si>
  <si>
    <t xml:space="preserve">Contraindication
• Patients with hepatic failure or history thereof
</t>
    <phoneticPr fontId="1" type="noConversion"/>
  </si>
  <si>
    <t>Contraindication
• Patients with hypersensitivity to any components in this material</t>
    <phoneticPr fontId="1" type="noConversion"/>
  </si>
  <si>
    <t>-Material Final (Plan) Review
-Incoming Inspection</t>
    <phoneticPr fontId="1" type="noConversion"/>
  </si>
  <si>
    <t xml:space="preserve">Seong Koo Lee </t>
    <phoneticPr fontId="1" type="noConversion"/>
  </si>
  <si>
    <t xml:space="preserve"> Wan Jin Cho</t>
    <phoneticPr fontId="1" type="noConversion"/>
  </si>
  <si>
    <t xml:space="preserve">Yun Jeong Choi </t>
    <phoneticPr fontId="1" type="noConversion"/>
  </si>
  <si>
    <t>황성봉</t>
    <phoneticPr fontId="1" type="noConversion"/>
  </si>
  <si>
    <t>팀장</t>
    <phoneticPr fontId="1" type="noConversion"/>
  </si>
  <si>
    <t>Team Leader</t>
    <phoneticPr fontId="1" type="noConversion"/>
  </si>
  <si>
    <r>
      <t xml:space="preserve">1. 담당업무: 품질보증팀/품질관리팀 책임자
2. 경력: 의약품 GMP관리 </t>
    </r>
    <r>
      <rPr>
        <sz val="9"/>
        <color rgb="FF0000FF"/>
        <rFont val="맑은 고딕"/>
        <family val="3"/>
        <charset val="129"/>
        <scheme val="minor"/>
      </rPr>
      <t>28</t>
    </r>
    <r>
      <rPr>
        <sz val="9"/>
        <color theme="1"/>
        <rFont val="맑은 고딕"/>
        <family val="3"/>
        <charset val="129"/>
        <scheme val="minor"/>
      </rPr>
      <t>년 경력</t>
    </r>
    <r>
      <rPr>
        <sz val="9"/>
        <color rgb="FF0000FF"/>
        <rFont val="맑은 고딕"/>
        <family val="3"/>
        <charset val="129"/>
        <scheme val="minor"/>
      </rPr>
      <t>, 의료기기 GMP 관리 4년 경력</t>
    </r>
    <r>
      <rPr>
        <sz val="9"/>
        <color theme="1"/>
        <rFont val="맑은 고딕"/>
        <family val="3"/>
        <charset val="129"/>
        <scheme val="minor"/>
      </rPr>
      <t xml:space="preserve">
3. 교육수료: </t>
    </r>
    <r>
      <rPr>
        <sz val="9"/>
        <color rgb="FF0000FF"/>
        <rFont val="맑은 고딕"/>
        <family val="3"/>
        <charset val="129"/>
        <scheme val="minor"/>
      </rPr>
      <t>ISO 14971:2019,</t>
    </r>
    <r>
      <rPr>
        <sz val="9"/>
        <color theme="1"/>
        <rFont val="맑은 고딕"/>
        <family val="3"/>
        <charset val="129"/>
        <scheme val="minor"/>
      </rPr>
      <t xml:space="preserve"> ISO13485, 국내 품질책임자 교육</t>
    </r>
    <phoneticPr fontId="1" type="noConversion"/>
  </si>
  <si>
    <r>
      <t xml:space="preserve">1. Responsibility: Head of Quality Assurance Team / Quality Management Team 
2. Work experience: </t>
    </r>
    <r>
      <rPr>
        <sz val="9"/>
        <color rgb="FF0000FF"/>
        <rFont val="맑은 고딕"/>
        <family val="3"/>
        <charset val="129"/>
        <scheme val="minor"/>
      </rPr>
      <t>28</t>
    </r>
    <r>
      <rPr>
        <sz val="9"/>
        <color theme="1"/>
        <rFont val="맑은 고딕"/>
        <family val="3"/>
        <charset val="129"/>
        <scheme val="minor"/>
      </rPr>
      <t xml:space="preserve"> years of GMP management of pharmaceutical products</t>
    </r>
    <r>
      <rPr>
        <sz val="9"/>
        <color rgb="FF0000FF"/>
        <rFont val="맑은 고딕"/>
        <family val="3"/>
        <charset val="129"/>
        <scheme val="minor"/>
      </rPr>
      <t xml:space="preserve"> and 4 years of GMP management of Medical device</t>
    </r>
    <r>
      <rPr>
        <sz val="9"/>
        <color theme="1"/>
        <rFont val="맑은 고딕"/>
        <family val="3"/>
        <charset val="129"/>
        <scheme val="minor"/>
      </rPr>
      <t xml:space="preserve">
3. Education: </t>
    </r>
    <r>
      <rPr>
        <sz val="9"/>
        <color rgb="FF0000FF"/>
        <rFont val="맑은 고딕"/>
        <family val="3"/>
        <charset val="129"/>
        <scheme val="minor"/>
      </rPr>
      <t>ISO 14971:2019,</t>
    </r>
    <r>
      <rPr>
        <sz val="9"/>
        <color theme="1"/>
        <rFont val="맑은 고딕"/>
        <family val="3"/>
        <charset val="129"/>
        <scheme val="minor"/>
      </rPr>
      <t xml:space="preserve"> ISO13485 and quality manager course in Korea.</t>
    </r>
    <phoneticPr fontId="1" type="noConversion"/>
  </si>
  <si>
    <t>1. Responsibility: Quality Assurance Team Manager
2. Work experience: Work experience: 10 years of GMP management of pharmaceutical products 
3. Education: ISO 14971:2019</t>
    <phoneticPr fontId="1" type="noConversion"/>
  </si>
  <si>
    <r>
      <t xml:space="preserve">1. 담당업무: 연구팀
2. 경력: 의료기기 제품 개발 </t>
    </r>
    <r>
      <rPr>
        <sz val="9"/>
        <color rgb="FF0000FF"/>
        <rFont val="맑은 고딕"/>
        <family val="3"/>
        <charset val="129"/>
        <scheme val="minor"/>
      </rPr>
      <t>9</t>
    </r>
    <r>
      <rPr>
        <sz val="9"/>
        <rFont val="맑은 고딕"/>
        <family val="3"/>
        <charset val="129"/>
        <scheme val="minor"/>
      </rPr>
      <t xml:space="preserve">년 경력
3. 교육수료: </t>
    </r>
    <r>
      <rPr>
        <sz val="9"/>
        <color rgb="FF0000FF"/>
        <rFont val="맑은 고딕"/>
        <family val="3"/>
        <charset val="129"/>
        <scheme val="minor"/>
      </rPr>
      <t>ISO 14971:2019,</t>
    </r>
    <r>
      <rPr>
        <sz val="9"/>
        <rFont val="맑은 고딕"/>
        <family val="3"/>
        <charset val="129"/>
        <scheme val="minor"/>
      </rPr>
      <t xml:space="preserve"> CE-MDD 심화교육, 설계 및 개발 교육</t>
    </r>
    <phoneticPr fontId="1" type="noConversion"/>
  </si>
  <si>
    <r>
      <t xml:space="preserve">1. Responsibility: Research Team
2. Work experience: </t>
    </r>
    <r>
      <rPr>
        <sz val="9"/>
        <color rgb="FF0000FF"/>
        <rFont val="맑은 고딕"/>
        <family val="3"/>
        <charset val="129"/>
        <scheme val="minor"/>
      </rPr>
      <t>9</t>
    </r>
    <r>
      <rPr>
        <sz val="9"/>
        <rFont val="맑은 고딕"/>
        <family val="3"/>
        <charset val="129"/>
        <scheme val="minor"/>
      </rPr>
      <t xml:space="preserve"> years of experience in developing medical devices
3. Education: </t>
    </r>
    <r>
      <rPr>
        <sz val="9"/>
        <color rgb="FF0000FF"/>
        <rFont val="맑은 고딕"/>
        <family val="3"/>
        <charset val="129"/>
        <scheme val="minor"/>
      </rPr>
      <t>ISO 14971:2019,</t>
    </r>
    <r>
      <rPr>
        <sz val="9"/>
        <rFont val="맑은 고딕"/>
        <family val="3"/>
        <charset val="129"/>
        <scheme val="minor"/>
      </rPr>
      <t xml:space="preserve"> Intensified CE-MDD, design and development courses</t>
    </r>
    <phoneticPr fontId="1" type="noConversion"/>
  </si>
  <si>
    <r>
      <t xml:space="preserve">1. Responsibility: RA Team
2. Work experience: </t>
    </r>
    <r>
      <rPr>
        <sz val="9"/>
        <color rgb="FF0000FF"/>
        <rFont val="맑은 고딕"/>
        <family val="3"/>
        <charset val="129"/>
        <scheme val="minor"/>
      </rPr>
      <t>7</t>
    </r>
    <r>
      <rPr>
        <sz val="9"/>
        <rFont val="맑은 고딕"/>
        <family val="3"/>
        <charset val="129"/>
        <scheme val="minor"/>
      </rPr>
      <t xml:space="preserve"> years of experience in regulatory for approval of medical devices
3. Education: </t>
    </r>
    <r>
      <rPr>
        <sz val="9"/>
        <color rgb="FF0000FF"/>
        <rFont val="맑은 고딕"/>
        <family val="3"/>
        <charset val="129"/>
        <scheme val="minor"/>
      </rPr>
      <t>ISO 14971:2019</t>
    </r>
    <phoneticPr fontId="1" type="noConversion"/>
  </si>
  <si>
    <r>
      <t xml:space="preserve">1. 담당업무: RA팀
2. 경력: 의료기기 허가 업무 </t>
    </r>
    <r>
      <rPr>
        <sz val="9"/>
        <color rgb="FF0000FF"/>
        <rFont val="맑은 고딕"/>
        <family val="3"/>
        <charset val="129"/>
        <scheme val="minor"/>
      </rPr>
      <t>7</t>
    </r>
    <r>
      <rPr>
        <sz val="9"/>
        <rFont val="맑은 고딕"/>
        <family val="3"/>
        <charset val="129"/>
        <scheme val="minor"/>
      </rPr>
      <t xml:space="preserve">년 경력
3. 교육수료: </t>
    </r>
    <r>
      <rPr>
        <sz val="9"/>
        <color rgb="FF0000FF"/>
        <rFont val="맑은 고딕"/>
        <family val="3"/>
        <charset val="129"/>
        <scheme val="minor"/>
      </rPr>
      <t>ISO 14971:2019</t>
    </r>
    <phoneticPr fontId="1" type="noConversion"/>
  </si>
  <si>
    <t xml:space="preserve"> Jae Hyuk Yang</t>
    <phoneticPr fontId="1" type="noConversion"/>
  </si>
  <si>
    <r>
      <t>.-</t>
    </r>
    <r>
      <rPr>
        <b/>
        <sz val="8"/>
        <color rgb="FF0000FF"/>
        <rFont val="맑은 고딕"/>
        <family val="3"/>
        <charset val="129"/>
      </rPr>
      <t>사용자의 동봉된 IFU의 미숙지로인하여</t>
    </r>
    <r>
      <rPr>
        <sz val="8"/>
        <color rgb="FF00B050"/>
        <rFont val="맑은 고딕"/>
        <family val="3"/>
        <charset val="129"/>
      </rPr>
      <t xml:space="preserve"> </t>
    </r>
    <r>
      <rPr>
        <sz val="8"/>
        <rFont val="맑은 고딕"/>
        <family val="3"/>
        <charset val="129"/>
      </rPr>
      <t>제품이 실온이 아닌 상태에서 주입이 이루어짐</t>
    </r>
    <phoneticPr fontId="1" type="noConversion"/>
  </si>
  <si>
    <r>
      <t>-</t>
    </r>
    <r>
      <rPr>
        <b/>
        <u/>
        <sz val="8"/>
        <color rgb="FF0000FF"/>
        <rFont val="맑은 고딕"/>
        <family val="3"/>
        <charset val="129"/>
      </rPr>
      <t>사용자의 동봉된 IFU의 미숙지로인하여</t>
    </r>
    <r>
      <rPr>
        <sz val="8"/>
        <rFont val="맑은 고딕"/>
        <family val="3"/>
        <charset val="129"/>
      </rPr>
      <t xml:space="preserve"> 진료실이 아닌 산만한 환경에서 시술이 이루어짐</t>
    </r>
    <phoneticPr fontId="1" type="noConversion"/>
  </si>
  <si>
    <t xml:space="preserve">- 주사침 연결 시 주사침 및 주사기 입구를 만짐
</t>
    <phoneticPr fontId="1" type="noConversion"/>
  </si>
  <si>
    <r>
      <rPr>
        <sz val="8"/>
        <color rgb="FF0000FF"/>
        <rFont val="맑은 고딕"/>
        <family val="3"/>
        <charset val="129"/>
      </rPr>
      <t xml:space="preserve">사용자가 동봉된 사용설명서를 제대로 숙지하지못하여 </t>
    </r>
    <r>
      <rPr>
        <sz val="8"/>
        <rFont val="맑은 고딕"/>
        <family val="3"/>
        <charset val="129"/>
      </rPr>
      <t>확인되지 않은 의약품 또는 의료기기와 병용투여 함</t>
    </r>
    <r>
      <rPr>
        <sz val="8"/>
        <color rgb="FF00B050"/>
        <rFont val="맑은 고딕"/>
        <family val="3"/>
        <charset val="129"/>
      </rPr>
      <t xml:space="preserve">
</t>
    </r>
    <phoneticPr fontId="1" type="noConversion"/>
  </si>
  <si>
    <t>-사용목적에 맞지 않는 다른 부위에 시술</t>
  </si>
  <si>
    <t>-Injection to other body for the unintended use</t>
  </si>
  <si>
    <t>-임부, 수유부 여부를 확인하지 않음</t>
  </si>
  <si>
    <t>Whether pregnant and breastfeeding not checked</t>
  </si>
  <si>
    <t>환자의 나이 정보를 확인하지 않음</t>
  </si>
  <si>
    <t>Patient's age information not checked</t>
  </si>
  <si>
    <t>의도하지 않은 사용자(비전문가)에 의해 시술</t>
  </si>
  <si>
    <t>Treatment by unintended users (nonprofessionals)</t>
  </si>
  <si>
    <t>- 포장 시 주사침이 블리스터 패키지에 동봉되지 않음</t>
  </si>
  <si>
    <t>-The needle is not enclosed in package.</t>
  </si>
  <si>
    <t>- 주입 전 환부 소독을 하지 않아 환자의 주입 부위가 오염되어 있음</t>
  </si>
  <si>
    <t>- The injection site(human body) is not disinfected with alcohol or other appropriate disinfection solution prior to administration.</t>
  </si>
  <si>
    <t>- 주사침 연결 시 주사침 및 주사기 입구를 만짐</t>
  </si>
  <si>
    <t>The needle and/or syringe inlet is touched with hands(not sterile).</t>
  </si>
  <si>
    <t>- 시술자가 무균 장갑을 착용하지 않거나 무균 장갑을 재사용함</t>
  </si>
  <si>
    <t>- Orthopedist or related the doctor, do not use the new sterilized gloves or reuse the sterlized gloves</t>
  </si>
  <si>
    <t>-사용된 주사침이 폐기되지 않고 재사용됨</t>
  </si>
  <si>
    <t>- Used needles are not discarded and reused.</t>
  </si>
  <si>
    <t>- 주사침이 막힘</t>
  </si>
  <si>
    <t>- The needle is blocked.</t>
  </si>
  <si>
    <t>-주사기와 주사침의 체결이 불완전하게 됨</t>
  </si>
  <si>
    <t>-The assembly syringe and needle is incompleted</t>
  </si>
  <si>
    <t xml:space="preserve">-운송 중 시린지 파손으로 멸균 파기 </t>
  </si>
  <si>
    <r>
      <t xml:space="preserve">- Failure of sterilization due to </t>
    </r>
    <r>
      <rPr>
        <sz val="8"/>
        <color rgb="FF0000FF"/>
        <rFont val="맑은 고딕"/>
        <family val="3"/>
        <charset val="129"/>
        <scheme val="minor"/>
      </rPr>
      <t>syringe</t>
    </r>
    <r>
      <rPr>
        <sz val="8"/>
        <color rgb="FF000000"/>
        <rFont val="맑은 고딕"/>
        <family val="3"/>
        <charset val="129"/>
        <scheme val="minor"/>
      </rPr>
      <t xml:space="preserve"> damage during transportation</t>
    </r>
  </si>
  <si>
    <t>-다른 환자에 사용한 제품을 재사용함</t>
  </si>
  <si>
    <t>- Reusing products used in other patients</t>
  </si>
  <si>
    <t>-환자에 사용된 주사침이 폐기되지 않아 의료인이 찔리는 상황 발생</t>
  </si>
  <si>
    <t>- Needles used in patients have not been discarded, causing health care providers to be stabbed.</t>
  </si>
  <si>
    <t>-재멸균 금지에 대한 내용이 라벨 및 설명서에 누락되어, 재멸균을 하여 점성과 탄성이 낮아짐</t>
  </si>
  <si>
    <t xml:space="preserve">- 다당류 물질에 대한 알레르기를 갖고 있는 환자를 확인하지 않고 제품 투여. </t>
  </si>
  <si>
    <t xml:space="preserve">- Injection of the product without identifying patients with an allergy to polysaccharide substances. </t>
  </si>
  <si>
    <t>- 시술자의 권장량 미숙지로 인해 시술부위에 최대용량인 2mL을 초과하여 주입됨.</t>
  </si>
  <si>
    <r>
      <t xml:space="preserve">- More than 2ml, the maximum dose, has been injected into the treatment area due to the </t>
    </r>
    <r>
      <rPr>
        <sz val="8"/>
        <color rgb="FF0000FF"/>
        <rFont val="맑은 고딕"/>
        <family val="3"/>
        <charset val="129"/>
        <scheme val="minor"/>
      </rPr>
      <t>user(Orthopedist or related the doctor)</t>
    </r>
    <r>
      <rPr>
        <sz val="8"/>
        <color rgb="FF000000"/>
        <rFont val="맑은 고딕"/>
        <family val="3"/>
        <charset val="129"/>
        <scheme val="minor"/>
      </rPr>
      <t>’s unfamiliarity with the recommended dose.</t>
    </r>
  </si>
  <si>
    <r>
      <t xml:space="preserve">- </t>
    </r>
    <r>
      <rPr>
        <sz val="8"/>
        <color rgb="FF0000FF"/>
        <rFont val="맑은 고딕"/>
        <family val="3"/>
        <charset val="129"/>
        <scheme val="minor"/>
      </rPr>
      <t>사용자의 미숙지로 인해</t>
    </r>
    <r>
      <rPr>
        <sz val="8"/>
        <color rgb="FF00B050"/>
        <rFont val="맑은 고딕"/>
        <family val="3"/>
        <charset val="129"/>
        <scheme val="minor"/>
      </rPr>
      <t xml:space="preserve"> </t>
    </r>
    <r>
      <rPr>
        <sz val="8"/>
        <color rgb="FF000000"/>
        <rFont val="맑은 고딕"/>
        <family val="3"/>
        <charset val="129"/>
        <scheme val="minor"/>
      </rPr>
      <t>유효기간이 지난 제품을 사용함</t>
    </r>
  </si>
  <si>
    <t>- Use of expired products</t>
  </si>
  <si>
    <r>
      <t xml:space="preserve">사용자가 동봉된 사용설명서의 미숙지로 인해 </t>
    </r>
    <r>
      <rPr>
        <sz val="8"/>
        <color rgb="FF000000"/>
        <rFont val="맑은 고딕"/>
        <family val="3"/>
        <charset val="129"/>
        <scheme val="minor"/>
      </rPr>
      <t>확인되지 않은 의약품 또는 의료기기와 병용투여 함</t>
    </r>
  </si>
  <si>
    <t>-사용자가 동봉된 사용설명서의 미숙지로 인해 확인되지 않은 의약품 또는 의료기기와 병용투여 함</t>
  </si>
  <si>
    <r>
      <t xml:space="preserve">사용자가 동봉된 사용설명서를 제대로 숙지하지못하여 </t>
    </r>
    <r>
      <rPr>
        <sz val="8"/>
        <color rgb="FF000000"/>
        <rFont val="맑은 고딕"/>
        <family val="3"/>
        <charset val="129"/>
        <scheme val="minor"/>
      </rPr>
      <t>확인되지 않은 의약품 또는 의료기기와 병용투여 함</t>
    </r>
  </si>
  <si>
    <r>
      <t>.-</t>
    </r>
    <r>
      <rPr>
        <b/>
        <sz val="8"/>
        <color rgb="FF0000FF"/>
        <rFont val="맑은 고딕"/>
        <family val="3"/>
        <charset val="129"/>
        <scheme val="minor"/>
      </rPr>
      <t>사용자의 동봉된 IFU의 미숙지로인하여</t>
    </r>
    <r>
      <rPr>
        <sz val="8"/>
        <color rgb="FF00B050"/>
        <rFont val="맑은 고딕"/>
        <family val="3"/>
        <charset val="129"/>
        <scheme val="minor"/>
      </rPr>
      <t xml:space="preserve"> </t>
    </r>
    <r>
      <rPr>
        <sz val="8"/>
        <color rgb="FF000000"/>
        <rFont val="맑은 고딕"/>
        <family val="3"/>
        <charset val="129"/>
        <scheme val="minor"/>
      </rPr>
      <t>제품이 실온이 아닌 상태에서 주입이 이루어짐</t>
    </r>
  </si>
  <si>
    <t>.-내용이 검증되지 않은 사용설명서가 제공되어, 제품이 실온이 아닌 상태에서 주입이 이루어짐</t>
  </si>
  <si>
    <r>
      <t>-</t>
    </r>
    <r>
      <rPr>
        <b/>
        <u/>
        <sz val="8"/>
        <color rgb="FF0000FF"/>
        <rFont val="맑은 고딕"/>
        <family val="3"/>
        <charset val="129"/>
        <scheme val="minor"/>
      </rPr>
      <t>사용자의 동봉된 IFU의 미숙지로인하여</t>
    </r>
    <r>
      <rPr>
        <sz val="8"/>
        <color rgb="FF000000"/>
        <rFont val="맑은 고딕"/>
        <family val="3"/>
        <charset val="129"/>
        <scheme val="minor"/>
      </rPr>
      <t xml:space="preserve"> 진료실이 아닌 산만한 환경에서 시술이 이루어짐</t>
    </r>
  </si>
  <si>
    <t>침습적 접촉을 통하여 겔이 투여된다.</t>
    <phoneticPr fontId="1" type="noConversion"/>
  </si>
  <si>
    <t>본 제품은 주사기와 주사침을 결합하여 사용해야 함.</t>
    <phoneticPr fontId="1" type="noConversion"/>
  </si>
  <si>
    <t>- 본 제품은 주사침과 결합하여 사용한다</t>
    <phoneticPr fontId="1" type="noConversion"/>
  </si>
  <si>
    <t>36</t>
    <phoneticPr fontId="1" type="noConversion"/>
  </si>
  <si>
    <t xml:space="preserve">제품이 관절강에 생물학적으로 안전 해야한다. </t>
    <phoneticPr fontId="1" type="noConversion"/>
  </si>
  <si>
    <t>fever, rash, inflammation</t>
    <phoneticPr fontId="1" type="noConversion"/>
  </si>
  <si>
    <t>53</t>
    <phoneticPr fontId="1" type="noConversion"/>
  </si>
  <si>
    <t>82</t>
    <phoneticPr fontId="1" type="noConversion"/>
  </si>
  <si>
    <t>No.</t>
    <phoneticPr fontId="1" type="noConversion"/>
  </si>
  <si>
    <t>(Sub-consideration)
PV FMEA (Risk Analysis)</t>
    <phoneticPr fontId="1" type="noConversion"/>
  </si>
  <si>
    <t>주사침이 누락된 상태로 포장 시 폐기해야 한다</t>
    <phoneticPr fontId="1" type="noConversion"/>
  </si>
  <si>
    <t>- There is no option to control the risk by design as this is a use error which is not relevant to the product’s design</t>
  </si>
  <si>
    <t xml:space="preserve">- There are no protective measures that can control the risk as it is caused by a use error
</t>
  </si>
  <si>
    <t>- There are no protective measures that can control the risk as it is caused by a use error</t>
    <phoneticPr fontId="1" type="noConversion"/>
  </si>
  <si>
    <t>- There is no option to control the risk by design as this is a information error  which is not relevant to the product’s design</t>
  </si>
  <si>
    <t>- There is no option to control the risk by design as this is a information error which is not relevant to the product’s design</t>
  </si>
  <si>
    <t>- There is no option to control the risk by design as this is a manufacturing process error which is not relevant to the product’s design</t>
  </si>
  <si>
    <t>-Designed the mold in a way that it can secure the first packaging of a needle inside the blister package to prevent damage to the same.</t>
  </si>
  <si>
    <t>Provide instructions explaining how to use the product and precautions, etc.</t>
  </si>
  <si>
    <t>- There is no option to control the risk by design as this is an information error which is not relevant to the product’s design</t>
  </si>
  <si>
    <t>-Double packaging process of blisters, cartons, etc. to prevent damage to the product</t>
  </si>
  <si>
    <t>- Design and Development File : Packaging Method</t>
  </si>
  <si>
    <t xml:space="preserve">Do not allow other sterilization such as resterilization by users, etc. </t>
  </si>
  <si>
    <t>Injected a product into the body which exceeded the endotoxin standards</t>
  </si>
  <si>
    <t>- There is no option to control the risk by design as this is an manufacturing process error which is not relevant to the product’s design</t>
    <phoneticPr fontId="1" type="noConversion"/>
  </si>
  <si>
    <t>- There is no information to be provided to users as it would be unable to be checked by users</t>
  </si>
  <si>
    <t>- There is no option to control the risk by design as this is an manufacturing process error which is not relevant to the product’s design</t>
  </si>
  <si>
    <t>- Injection of products with lower clinical effectiveness due to reduced performance</t>
  </si>
  <si>
    <t>- There is no option to control the risk by design as this is an test method error which is not relevant to the product’s design</t>
  </si>
  <si>
    <t>-Finished Product Test Report
-SOP of "Receiving and shipping procedure for raw materials, packaging materials and finished products"</t>
    <phoneticPr fontId="1" type="noConversion"/>
  </si>
  <si>
    <t>-Outgoing Inspection
-Shipping process and in-process labelling management</t>
    <phoneticPr fontId="1" type="noConversion"/>
  </si>
  <si>
    <t>- There is no option to control the risk by design as this is a use error which is not relevant to the product’s design</t>
    <phoneticPr fontId="1" type="noConversion"/>
  </si>
  <si>
    <t>- There is no option to control the risk by design as this is a purchasing error which is not relevant to the product’s design</t>
  </si>
  <si>
    <t>- There is no option to control the risk by design as this is a storage condition error which is not relevant to the product’s design</t>
  </si>
  <si>
    <t>- There is no option to control the risk by design as this is a test method error which is not relevant to the product’s design</t>
  </si>
  <si>
    <t>Provide instructions explaining how to use the product and precautions, etc.</t>
    <phoneticPr fontId="1" type="noConversion"/>
  </si>
  <si>
    <t>-Setting Raw Material and Material Standard
-Establishment of raw material storage procedures
-Outgoing Inspection</t>
    <phoneticPr fontId="1" type="noConversion"/>
  </si>
  <si>
    <t>-Raw Material Test Report(HA)
- Test Method SOP and Test Specification
- Test equipment regular inspection records
- Test equipment Qualification Report
- Test equipment Calibration certificatet</t>
  </si>
  <si>
    <t>- Container suitability test results and the relevant reports (syringes)</t>
  </si>
  <si>
    <t>- There is no option to control the risk by design as this is a information error which is not relevant to the product’s design</t>
    <phoneticPr fontId="1" type="noConversion"/>
  </si>
  <si>
    <t>- There is no option to control the risk by design as this risk could still occur even though it is used under normal conditions</t>
  </si>
  <si>
    <t>- There is no option to control the risk by protective measures as this risk could still occur even though it is used under normal conditions</t>
  </si>
  <si>
    <t>Unavoidable penetration of the skin as using a needle</t>
  </si>
  <si>
    <t xml:space="preserve"> Impacts on fetuses or infants, </t>
  </si>
  <si>
    <t xml:space="preserve">Skin diseases or aggravation of infection
</t>
  </si>
  <si>
    <t>Pseudosepsis arthritis, Septic arthritis, Fever, Rash, Effusion</t>
    <phoneticPr fontId="1" type="noConversion"/>
  </si>
  <si>
    <t>Gel is injected in the knee joint and maintained for not less than 6 months</t>
    <phoneticPr fontId="1" type="noConversion"/>
  </si>
  <si>
    <t>- Injection of products with lower clinical effectiveness due to reduced performance</t>
    <phoneticPr fontId="1" type="noConversion"/>
  </si>
  <si>
    <t>fever, rash, inflammation</t>
  </si>
  <si>
    <t>-Outgoing Inspection
-Shipping process and in-process labelling management</t>
  </si>
  <si>
    <t>-Finished Product Test Report
-SOP of "Receiving and shipping procedure for raw materials, packaging materials and finished products"</t>
  </si>
  <si>
    <t>- Product Specification
- Manufacturing Record
'-Calibration report of scale
'- Daily and routine scale inspection records
-Finished Product Test Report
'-Perssonnel Training List</t>
  </si>
  <si>
    <t>- Injection of an amount that is not sufficient to have clinical effectiveness.</t>
    <phoneticPr fontId="1" type="noConversion"/>
  </si>
  <si>
    <t>Arthralgia, Tenderness, Joint stiffness</t>
  </si>
  <si>
    <t xml:space="preserve">-Checklist of Packaging Material for Medical device
-Instruction for Use and Incoming Inspection Report
</t>
    <phoneticPr fontId="1" type="noConversion"/>
  </si>
  <si>
    <t>-Setting the product specification
-Manufacturing Process Inspection Set,
-When weighing, only the raw materials for one product are weighed, and;
-When weighing, double check worker and verifier
-Outgoing Inspection
'- Training of workers is conducted</t>
  </si>
  <si>
    <t>-Product Specification
-Manufacturing Record
-Finished Product Test Report
'-Perssonnel Training List</t>
  </si>
  <si>
    <t>The product has to meet the endotoxin standards compatible to injection of a knee joint cavity</t>
    <phoneticPr fontId="1" type="noConversion"/>
  </si>
  <si>
    <t>-Raw Material and Material Specification
- Raw material storage SOP
-Finished Product Test Report(Endotoxin Test)</t>
    <phoneticPr fontId="1" type="noConversion"/>
  </si>
  <si>
    <t>Inflammation, Burning, Fever, Pain</t>
  </si>
  <si>
    <t>- Product Specification
- Manufacturing Record
-Finished Product Test Report
'- Perssonnel Training List</t>
  </si>
  <si>
    <t>There are no protective measures that can control the risk as it is caused by design development.</t>
  </si>
  <si>
    <t>Injection of excessive amount relative to the joint cavity space</t>
  </si>
  <si>
    <t xml:space="preserve">[Information hazards]
&lt;Labelling&gt;
Incomplete instructions for use
</t>
    <phoneticPr fontId="1" type="noConversion"/>
  </si>
  <si>
    <t>Effusion, Tenderness, Joint stiffness, Arthralgia, Dysfunction (Transient)( Difficulty ambulating, Weight bearing difficulty, Discomfort, Could not bend the knee, Limping)</t>
  </si>
  <si>
    <t>- Injection of an amount that is not sufficient to have clinical effectiveness.</t>
  </si>
  <si>
    <t>Function - Loss(Re-Injection)</t>
  </si>
  <si>
    <t>The expected performance is not implemented due to precipitation in response to the quaternary ammonium salt substance</t>
  </si>
  <si>
    <t>- There is no option to control the risk by design as this is a information error which is not relevant to the product’s design</t>
    <phoneticPr fontId="1" type="noConversion"/>
  </si>
  <si>
    <t>Tenderness, Joint stiffness, Arthralgia</t>
    <phoneticPr fontId="1" type="noConversion"/>
  </si>
  <si>
    <t>Tenderness, Joint stiffness, Arthralgia</t>
    <phoneticPr fontId="1" type="noConversion"/>
  </si>
  <si>
    <t>Arthralgia, Tenderness, Joint stiffness</t>
    <phoneticPr fontId="1" type="noConversion"/>
  </si>
  <si>
    <t xml:space="preserve">[Information hazzards]
&lt;Warnings&gt;
Contraindication
</t>
    <phoneticPr fontId="1" type="noConversion"/>
  </si>
  <si>
    <t>Muscle spasms</t>
    <phoneticPr fontId="1" type="noConversion"/>
  </si>
  <si>
    <t>Edema, Rash, Bruise</t>
    <phoneticPr fontId="1" type="noConversion"/>
  </si>
  <si>
    <t xml:space="preserve">-Material Final (Plan) Review
-Incoming Inspection
</t>
    <phoneticPr fontId="1" type="noConversion"/>
  </si>
  <si>
    <t>-Checklist of Packaging Material for Medical device
-Instruction for Use and Incoming Inspection Report</t>
    <phoneticPr fontId="1" type="noConversion"/>
  </si>
  <si>
    <t xml:space="preserve">-Selection of suppliers with GMP, CE or ISO certification
-Selection of needles for which pharmacopoeial standards or biological safety have been verified
</t>
    <phoneticPr fontId="1" type="noConversion"/>
  </si>
  <si>
    <t xml:space="preserve">- Design Development File : Needle Certificate, etc.
</t>
    <phoneticPr fontId="1" type="noConversion"/>
  </si>
  <si>
    <t xml:space="preserve">-Setting Raw Material and Material Standard
-Incoming Inspection
-Supplier evaluation
-Setting the product specification
</t>
    <phoneticPr fontId="1" type="noConversion"/>
  </si>
  <si>
    <t xml:space="preserve">'-Raw Material and Material Specification
-Raw Material Test Report
-Supplier evaluation Report
-Quality Agreement
-Product Specification
-Manufacturing Record
</t>
    <phoneticPr fontId="1" type="noConversion"/>
  </si>
  <si>
    <t>-Design drawing of mold for Blister package</t>
    <phoneticPr fontId="1" type="noConversion"/>
  </si>
  <si>
    <t>Injection is not possible</t>
    <phoneticPr fontId="1" type="noConversion"/>
  </si>
  <si>
    <t>-Set the Product spefication
-Outgoing Inspection</t>
    <phoneticPr fontId="1" type="noConversion"/>
  </si>
  <si>
    <t>-Product Specification
-Manufacturing Record
-Finished Product Test Report</t>
    <phoneticPr fontId="1" type="noConversion"/>
  </si>
  <si>
    <t>Pseudosepsis arthritis, Septic arthritis, Fever, Rash, Effusion</t>
    <phoneticPr fontId="1" type="noConversion"/>
  </si>
  <si>
    <t>-Use Interface Validaion Report
-Instruction for use</t>
    <phoneticPr fontId="1" type="noConversion"/>
  </si>
  <si>
    <t>This product is used for single use. It should not re-use or resterilize the syringe and needle.</t>
    <phoneticPr fontId="1" type="noConversion"/>
  </si>
  <si>
    <t>Pseudosepsis arthritis, Septic arthritis, Fever, Rash, Effusion</t>
    <phoneticPr fontId="1" type="noConversion"/>
  </si>
  <si>
    <t xml:space="preserve">Inflammation, burning, Fever, Pain
</t>
    <phoneticPr fontId="1" type="noConversion"/>
  </si>
  <si>
    <t>- There is no option to control the risk by design as this is a purchasing error which is not relevant to the product’s design</t>
    <phoneticPr fontId="1" type="noConversion"/>
  </si>
  <si>
    <t>-Verification of user's understanding of instructions for use
- Insert the corresponding phrase in Instruction for Use
【How to Use】 
1) Before the use
• Do not over tighten or apply excessive leverage when attaching the needle or removing the needle guard, as this may break the syringe tip.
【Information of Needle】
• Manufacturer of Needle 
• Size</t>
    <phoneticPr fontId="1" type="noConversion"/>
  </si>
  <si>
    <t>-User Interface validation report
-Instruction for use</t>
    <phoneticPr fontId="1" type="noConversion"/>
  </si>
  <si>
    <t>User : Injury
Patients :Bruise, Pain</t>
    <phoneticPr fontId="1" type="noConversion"/>
  </si>
  <si>
    <t xml:space="preserve">-Supplier evaluation
</t>
    <phoneticPr fontId="1" type="noConversion"/>
  </si>
  <si>
    <t>Bruise, Pain</t>
    <phoneticPr fontId="1" type="noConversion"/>
  </si>
  <si>
    <t>User : Injury
Patients :Bruise, Pain</t>
    <phoneticPr fontId="1" type="noConversion"/>
  </si>
  <si>
    <t xml:space="preserve">                                                                                                                                                                                                                                           - Syringe breakage due to increased injection force due to poor particle size and viscoelasticity</t>
    <phoneticPr fontId="1" type="noConversion"/>
  </si>
  <si>
    <t>Bruise, Pain</t>
    <phoneticPr fontId="1" type="noConversion"/>
  </si>
  <si>
    <t>Pseudosepsis arthritis, Septic arthritis, Fever, Rash, Effusion</t>
    <phoneticPr fontId="1" type="noConversion"/>
  </si>
  <si>
    <t>Fever, inflammation, warmth</t>
    <phoneticPr fontId="1" type="noConversion"/>
  </si>
  <si>
    <t>Pseudosepsis arthritis, Septic arthritis, Fever, Rash, Effusion</t>
    <phoneticPr fontId="1" type="noConversion"/>
  </si>
  <si>
    <t xml:space="preserve">-Packaging Record
-Packaging Process Validation
-Finished Product Test Report
</t>
    <phoneticPr fontId="1" type="noConversion"/>
  </si>
  <si>
    <t>Do not use if the packaging(syringe, needle) is
opened or damaged.</t>
    <phoneticPr fontId="1" type="noConversion"/>
  </si>
  <si>
    <t>User : infection</t>
    <phoneticPr fontId="1" type="noConversion"/>
  </si>
  <si>
    <t>Function Loss(Re-injection)</t>
    <phoneticPr fontId="1" type="noConversion"/>
  </si>
  <si>
    <t xml:space="preserve">- Material Final (Plan) Review
-Incoming Inspection
</t>
    <phoneticPr fontId="1" type="noConversion"/>
  </si>
  <si>
    <t>-Checklist of Packaging Material for Medical device
-Instruction for Use and Labels (Blister and Carton) Test Report</t>
    <phoneticPr fontId="1" type="noConversion"/>
  </si>
  <si>
    <t>-Label (Syringe, Blister), Carton
-Instruction for Use</t>
    <phoneticPr fontId="1" type="noConversion"/>
  </si>
  <si>
    <t>Pseudosepsis arthritis, Septic arthritis, Fever, Rash, Effusion</t>
    <phoneticPr fontId="1" type="noConversion"/>
  </si>
  <si>
    <t>-Checklist of Packaging Material for Medical device
-Instruction for Use and Labels (Blister and Carton) Test Report</t>
    <phoneticPr fontId="1" type="noConversion"/>
  </si>
  <si>
    <t>- There is no option to control the risk by design as this is an information error which is not relevant to the product’s design</t>
    <phoneticPr fontId="1" type="noConversion"/>
  </si>
  <si>
    <t xml:space="preserve">- Material Final (Plan) Review
-Incoming Inspection
</t>
    <phoneticPr fontId="1" type="noConversion"/>
  </si>
  <si>
    <t>-Checklist of Packaging Material for Medical device
-Instruction for Use and Labels (Blister and Carton) Test Report</t>
    <phoneticPr fontId="1" type="noConversion"/>
  </si>
  <si>
    <t>- Insert the corresponding phrase in Instruction for Use
【How to Use】
1) Before the use
• The gel of the syringe must be used immediately after its packaging is opened.</t>
    <phoneticPr fontId="1" type="noConversion"/>
  </si>
  <si>
    <t>-Instruction for Use</t>
    <phoneticPr fontId="1" type="noConversion"/>
  </si>
  <si>
    <t>Fever, inflammation, wamrth</t>
    <phoneticPr fontId="1" type="noConversion"/>
  </si>
  <si>
    <t>-There are no protective measures that can control the risk as it is caused by design development.</t>
    <phoneticPr fontId="1" type="noConversion"/>
  </si>
  <si>
    <t>Fever, inflammation, wamrth</t>
    <phoneticPr fontId="1" type="noConversion"/>
  </si>
  <si>
    <t>- There is no option to control the risk by design as this is an manufacturing process error which is not relevant to the product’s design</t>
    <phoneticPr fontId="1" type="noConversion"/>
  </si>
  <si>
    <t>-Product Specification
-Manufacturing Record
-HVAC System PQ Report
-Clean Room Validation Report
(Clean Booth Qualification Summary Report)</t>
    <phoneticPr fontId="1" type="noConversion"/>
  </si>
  <si>
    <t>-Setting the product specification
- Check the condition of the equipment before working (checking the sterilization conditions)
-Regular Qualification is performed in accordance with sterilizer's loading pattern and Sterilization Record Sheet is checked after sterilization to confirm sterilized state.
-verify sterilization process through process validation
-Outgoing Inspection</t>
    <phoneticPr fontId="1" type="noConversion"/>
  </si>
  <si>
    <t>-Product Specification
-Manufacturing Record
-Performance Qualification Report
-Process Validation Report
- Finished Product Test Report</t>
    <phoneticPr fontId="1" type="noConversion"/>
  </si>
  <si>
    <t xml:space="preserve">[Biological and chemical hazards]
&lt;Chemical agents&gt;
Osmotic pressure, pH
</t>
  </si>
  <si>
    <t>-Set the product specification and Manufacturing Process Inspection
-When weighing, the raw materials for only one product are weighed.
-When weighing, it is checked double by worker and reviewer
- Outgoing Inspection
-Training of workers is conducted</t>
    <phoneticPr fontId="1" type="noConversion"/>
  </si>
  <si>
    <t>- Product Specification
- Manufacturing Record
-Finished Product Test Report(pH test, Osmotic pressure)
-Perssonnel Training List</t>
  </si>
  <si>
    <t>-Calibration of  pH meter
-Daily Check of pH meter
- Outgoing Inspection</t>
    <phoneticPr fontId="1" type="noConversion"/>
  </si>
  <si>
    <t>- pH Meter Calibration Certificate
- pH Meter Daily Check Sheet
-Finished Product Test Report(pH test)</t>
    <phoneticPr fontId="1" type="noConversion"/>
  </si>
  <si>
    <t xml:space="preserve">-Establishment of the manufacturing standards and inspections for each manufacturing process
'-Conducting the verification of buffers through IPC and process validation
- Outgoing inspection
-Training of workers is conducted
</t>
  </si>
  <si>
    <t>- Product specifications
- Process validation report
- Finished product test report(pH test)
- Perssonnel Training List</t>
    <phoneticPr fontId="1" type="noConversion"/>
  </si>
  <si>
    <t xml:space="preserve">-Establishment of the manufacturing standards and inspections for each manufacturing process
'-Conducting the verification of buffers through IPC and process validation
- Outgoing inspection
</t>
    <phoneticPr fontId="1" type="noConversion"/>
  </si>
  <si>
    <t xml:space="preserve">- Product specifications
-Process validation report
-Finished product test report(pH test, osmotic pressure)
</t>
    <phoneticPr fontId="1" type="noConversion"/>
  </si>
  <si>
    <t>-There are no protective measures that can control the risk as it is caused by design development.</t>
    <phoneticPr fontId="1" type="noConversion"/>
  </si>
  <si>
    <t>Gel is injected in the knee joint and maintained for not less than 6 months</t>
    <phoneticPr fontId="1" type="noConversion"/>
  </si>
  <si>
    <t>Function - Loss(Re-Injection)</t>
    <phoneticPr fontId="1" type="noConversion"/>
  </si>
  <si>
    <t xml:space="preserve">-Setting the product specification
- Manufacturing Process Inspection Set, and;
- Perform double-check when calculating correction materials
-Outgoing Inspection
</t>
    <phoneticPr fontId="1" type="noConversion"/>
  </si>
  <si>
    <t>-Product Specification
-Manufacturing Record
-Finished Product Test Report</t>
    <phoneticPr fontId="1" type="noConversion"/>
  </si>
  <si>
    <t>Inflammation, Burning, Fever, Pain</t>
    <phoneticPr fontId="1" type="noConversion"/>
  </si>
  <si>
    <t>-Manufacturing Process Inspection Set
-Scale is used after checking whether it is calibrated prior to weighing
-Perform daily inspection before weighing and perform periodic inspections</t>
    <phoneticPr fontId="1" type="noConversion"/>
  </si>
  <si>
    <t xml:space="preserve">Function - Loss(Re-Injection)
</t>
    <phoneticPr fontId="1" type="noConversion"/>
  </si>
  <si>
    <t>- Injection of products containing an insufficient amount of the main materials (HA) with lower clinical effectiveness</t>
    <phoneticPr fontId="4" type="noConversion"/>
  </si>
  <si>
    <t xml:space="preserve">Function - Loss(Re-Injection)
</t>
    <phoneticPr fontId="1" type="noConversion"/>
  </si>
  <si>
    <t>The product has to meet the endotoxin standards compatible to injection of a knee joint cavity.</t>
  </si>
  <si>
    <t>Fever, inflammation, wamrth</t>
    <phoneticPr fontId="1" type="noConversion"/>
  </si>
  <si>
    <t>Gel is injected in the knee joint and maintained for not less than 6 months</t>
    <phoneticPr fontId="1" type="noConversion"/>
  </si>
  <si>
    <t>Function - Loss(Re-Injection)</t>
    <phoneticPr fontId="1" type="noConversion"/>
  </si>
  <si>
    <t>-Instruction for use</t>
    <phoneticPr fontId="1" type="noConversion"/>
  </si>
  <si>
    <t xml:space="preserve">-Product Specification
-Manufacturing Record
-Finished Product Test Report
</t>
    <phoneticPr fontId="1" type="noConversion"/>
  </si>
  <si>
    <t>-Instruction for use</t>
    <phoneticPr fontId="1" type="noConversion"/>
  </si>
  <si>
    <t>Pseudosepsis arthritis, Septic arthritis, Fever, Rash, Effusion</t>
    <phoneticPr fontId="1" type="noConversion"/>
  </si>
  <si>
    <t xml:space="preserve">Function - Loss(Re-Injection)
</t>
    <phoneticPr fontId="1" type="noConversion"/>
  </si>
  <si>
    <t>-Instruction for use</t>
    <phoneticPr fontId="1" type="noConversion"/>
  </si>
  <si>
    <t>Pain, Erythema, Redness, Swelling, Warmth, Hypersensitivity one of the components,
Fever, inflammation</t>
    <phoneticPr fontId="1" type="noConversion"/>
  </si>
  <si>
    <t>Normal</t>
    <phoneticPr fontId="1" type="noConversion"/>
  </si>
  <si>
    <t>- Insert the corresponding phrase in Instruction for Use
【Side effects】
• Pain
• Disorders of skin and subcutaneous tissue (Bruise)</t>
    <phoneticPr fontId="1" type="noConversion"/>
  </si>
  <si>
    <t>Pain, Bruise</t>
    <phoneticPr fontId="1" type="noConversion"/>
  </si>
  <si>
    <t>-Checklist of Packaging Material for Medical Device
-Instruction for Use and Incoming Inspection Report</t>
    <phoneticPr fontId="1" type="noConversion"/>
  </si>
  <si>
    <t xml:space="preserve">-Material Final (Plan) Review
-Incoming Inspection
</t>
    <phoneticPr fontId="1" type="noConversion"/>
  </si>
  <si>
    <t>Muscle spasms</t>
    <phoneticPr fontId="1" type="noConversion"/>
  </si>
  <si>
    <t xml:space="preserve">use environment 
:• The injection should be performed in medical procedure rooms or in rooms with high
level of conditions
</t>
    <phoneticPr fontId="1" type="noConversion"/>
  </si>
  <si>
    <t>Edema, Rash, Bruise</t>
    <phoneticPr fontId="1" type="noConversion"/>
  </si>
  <si>
    <t>- There are no protective measures that can control the risk as it is caused by a use error</t>
    <phoneticPr fontId="1" type="noConversion"/>
  </si>
  <si>
    <t>- There is no option to control the risk by design as this is a use error which is not relevant to the product’s design</t>
    <phoneticPr fontId="1" type="noConversion"/>
  </si>
  <si>
    <t xml:space="preserve">-Checklist of Packaging Material for Medical Device
-Instruction for Use and Incoming Inspection Report
</t>
    <phoneticPr fontId="1" type="noConversion"/>
  </si>
  <si>
    <t xml:space="preserve">-Material Final (Plan) Review
-Incoming Inspection
</t>
    <phoneticPr fontId="1" type="noConversion"/>
  </si>
  <si>
    <t>- Time to Reach Ambient Temperature Evaluation Report</t>
    <phoneticPr fontId="1" type="noConversion"/>
  </si>
  <si>
    <t>-Temperature verification for 15-minute storage</t>
    <phoneticPr fontId="1" type="noConversion"/>
  </si>
  <si>
    <t>Pain</t>
    <phoneticPr fontId="1" type="noConversion"/>
  </si>
  <si>
    <t>If the product is stored at a temperature lower than room temperature, leave it at room
temperature for at least 15 minutes before use.</t>
    <phoneticPr fontId="1" type="noConversion"/>
  </si>
  <si>
    <r>
      <rPr>
        <b/>
        <sz val="8"/>
        <rFont val="맑은 고딕"/>
        <family val="3"/>
        <charset val="129"/>
      </rPr>
      <t>[Information hazards]
&lt;Labelling&gt;</t>
    </r>
    <r>
      <rPr>
        <sz val="8"/>
        <rFont val="맑은 고딕"/>
        <family val="3"/>
        <charset val="129"/>
      </rPr>
      <t xml:space="preserve">
Incomplete instructions for use
</t>
    </r>
    <phoneticPr fontId="1" type="noConversion"/>
  </si>
  <si>
    <t>To prevent the cross-infection, the used syringe, needle and remaining gel are disposed to according to healthcare waste management procedure (i.e., national or local regulations) after use.</t>
    <phoneticPr fontId="1" type="noConversion"/>
  </si>
  <si>
    <t xml:space="preserve">-Label (Blister, Carton), Checklist of Packaging Material for Medical Device
-Instruction for Use and Incoming Inspection Report
</t>
    <phoneticPr fontId="1" type="noConversion"/>
  </si>
  <si>
    <t xml:space="preserve">-Material Final (Plan) Review
-Incoming Inspection
</t>
    <phoneticPr fontId="1" type="noConversion"/>
  </si>
  <si>
    <t>Function - Loss(Re-Injection)</t>
    <phoneticPr fontId="1" type="noConversion"/>
  </si>
  <si>
    <t xml:space="preserve">-Checklist of Packaging Material for Medical device
-Instruction for Use and Incoming Inspection Report
</t>
    <phoneticPr fontId="1" type="noConversion"/>
  </si>
  <si>
    <t>Deep Vein Thrombosis</t>
    <phoneticPr fontId="1" type="noConversion"/>
  </si>
  <si>
    <t xml:space="preserve">
[Information hazards]
&lt;Labelling&gt;
Inadequate specification of intended use
</t>
    <phoneticPr fontId="1" type="noConversion"/>
  </si>
  <si>
    <t>-Checklist of Packaging Material for Medical device
-Instruction for Use and Incoming Inspection Report</t>
    <phoneticPr fontId="1" type="noConversion"/>
  </si>
  <si>
    <t>-Material Final (Plan) Review
-Incoming Inspection</t>
    <phoneticPr fontId="1" type="noConversion"/>
  </si>
  <si>
    <t xml:space="preserve">Arthralgia, Tenderness,
Joint stiffness
</t>
    <phoneticPr fontId="1" type="noConversion"/>
  </si>
  <si>
    <t>- Contraindication is omitted from the instructions for use as below;
【Contraindication】
• Do not use for person under 18years of age</t>
    <phoneticPr fontId="1" type="noConversion"/>
  </si>
  <si>
    <t>Contraindication
• Do not use for person under 18years of age</t>
    <phoneticPr fontId="1" type="noConversion"/>
  </si>
  <si>
    <t>- Contraindication is omitted from the instructions for use as below;
【Contraindication】
• Do not use for pregnant women, nursing mother</t>
    <phoneticPr fontId="1" type="noConversion"/>
  </si>
  <si>
    <t xml:space="preserve">Contraindication
• Do not use for pregnant women, nursing mother </t>
    <phoneticPr fontId="1" type="noConversion"/>
  </si>
  <si>
    <t>Contraindication
• Patients with rheumatoid arthritis</t>
    <phoneticPr fontId="1" type="noConversion"/>
  </si>
  <si>
    <t>It is  injected into a knee joint cavity through invasive contact by a needle</t>
    <phoneticPr fontId="1" type="noConversion"/>
  </si>
  <si>
    <t>Maximum dose per knee joint : 2mL 
(Injection interval : more than 6months after the last injection))</t>
    <phoneticPr fontId="1" type="noConversion"/>
  </si>
  <si>
    <t>Raw materials:  sodium Hyaluronate</t>
    <phoneticPr fontId="1" type="noConversion"/>
  </si>
  <si>
    <t>Crosslinking agent : DVS
(Divinyl sulfone)</t>
    <phoneticPr fontId="1" type="noConversion"/>
  </si>
  <si>
    <t xml:space="preserve">
The product has to meet the endotoxin standards compatible to injection of a knee joint cavity.
</t>
    <phoneticPr fontId="1" type="noConversion"/>
  </si>
  <si>
    <t>Direct package : glass syringes</t>
    <phoneticPr fontId="1" type="noConversion"/>
  </si>
  <si>
    <t>Combined product : Sterile needles</t>
    <phoneticPr fontId="1" type="noConversion"/>
  </si>
  <si>
    <t>Products should be made in accordance with the composition rate established during design development</t>
    <phoneticPr fontId="4" type="noConversion"/>
  </si>
  <si>
    <t>The products have to be biocompatible to knee joint cavities.</t>
    <phoneticPr fontId="1" type="noConversion"/>
  </si>
  <si>
    <t>Use of Sodium hyaluronate produced through the process of bio-fermentation.</t>
    <phoneticPr fontId="1" type="noConversion"/>
  </si>
  <si>
    <t>If the product is stored at a temperature lower than room temperature, leave it at room
temperature for at least 15 minutes before use.</t>
    <phoneticPr fontId="1" type="noConversion"/>
  </si>
  <si>
    <t>The products have to be biocompatible to knee joint cavities.</t>
    <phoneticPr fontId="1" type="noConversion"/>
  </si>
  <si>
    <t>Syringes, the direct package of the product, should be suitable for gels (glass syringes)</t>
    <phoneticPr fontId="1" type="noConversion"/>
  </si>
  <si>
    <t>It is necessary to manage the residual on DVS (not more than 2ppm)</t>
    <phoneticPr fontId="1" type="noConversion"/>
  </si>
  <si>
    <t>The product is provided after sterilization by manufacturer.
(Needle: EO gas sterilization(by supplier))</t>
    <phoneticPr fontId="1" type="noConversion"/>
  </si>
  <si>
    <t>The product is provided after sterilization by manufacturer.
(Gel : Steam sterilization(121~123℃, 20min, Autoclave))</t>
    <phoneticPr fontId="1" type="noConversion"/>
  </si>
  <si>
    <t>The product is provided after sterilization by manufacturer.
(Gel : Steam sterilization(121~123℃, 20min, Autoclave), Needle: EO gas sterilization(by supplier))</t>
    <phoneticPr fontId="1" type="noConversion"/>
  </si>
  <si>
    <t>The product has to meet the endotoxin standards compatible to injection of a knee joint cavity..</t>
    <phoneticPr fontId="1" type="noConversion"/>
  </si>
  <si>
    <t>The product has to meet the endotoxin standards compatible to injection of a knee joint cavity</t>
    <phoneticPr fontId="1" type="noConversion"/>
  </si>
  <si>
    <t>The expiry date is 3 years from manufacturing date</t>
    <phoneticPr fontId="1" type="noConversion"/>
  </si>
  <si>
    <t>The expiry date is 3 years from manufacturing date</t>
    <phoneticPr fontId="1" type="noConversion"/>
  </si>
  <si>
    <t xml:space="preserve">Do not allow other sterilization such as resterilization by users, etc. </t>
    <phoneticPr fontId="1" type="noConversion"/>
  </si>
  <si>
    <t>The syringe label on the product is marked with a scale for the volume.</t>
    <phoneticPr fontId="1" type="noConversion"/>
  </si>
  <si>
    <t>The 23G needle, packed in the blister, should be used for injection</t>
    <phoneticPr fontId="1" type="noConversion"/>
  </si>
  <si>
    <t>【INTERACTIONS with Other Medicinal Substance or Medical Device】
• Do not concomitantly use disinfectants containing quaternary ammonium salts for skin
preparation because hyaluronan can precipitate in their presence.</t>
    <phoneticPr fontId="1" type="noConversion"/>
  </si>
  <si>
    <t xml:space="preserve">【Storage】
• Keep dry  </t>
    <phoneticPr fontId="1" type="noConversion"/>
  </si>
  <si>
    <t xml:space="preserve">- User Interface Validation Report
-Syringe Label, Blister Label, Carton
-Instruction for Use
</t>
    <phoneticPr fontId="1" type="noConversion"/>
  </si>
  <si>
    <t xml:space="preserve">【Storage】
• Protect from direct sunlight
  </t>
    <phoneticPr fontId="1" type="noConversion"/>
  </si>
  <si>
    <t xml:space="preserve">【Storage】 
• Do not freeze 
</t>
    <phoneticPr fontId="1" type="noConversion"/>
  </si>
  <si>
    <t xml:space="preserve">- User Interface Validation Report
-Instruction for Use
</t>
    <phoneticPr fontId="1" type="noConversion"/>
  </si>
  <si>
    <t xml:space="preserve">【Storage】
• Store in original packaging at 1 to 30℃ 
</t>
    <phoneticPr fontId="1" type="noConversion"/>
  </si>
  <si>
    <t>The product is single use. To prevent the cross-infection, the used syringe, needle and remaining gel are disposed to according to healthcare waste management procedure (i.e., national or local regulations) after use.</t>
    <phoneticPr fontId="1" type="noConversion"/>
  </si>
  <si>
    <t>This product is an medical device that is influenced by injection power (physical force) of a mere practitioner (doctor).</t>
    <phoneticPr fontId="1" type="noConversion"/>
  </si>
  <si>
    <t>The products have to be biologically safe to joint cavities.</t>
  </si>
  <si>
    <t>fever, rash, inflammation</t>
    <phoneticPr fontId="1" type="noConversion"/>
  </si>
  <si>
    <t>-Cleaning Method Standard Set
-Validation of cleaning method</t>
    <phoneticPr fontId="1" type="noConversion"/>
  </si>
  <si>
    <t>- Cleaning Method SOP
- Cleaning Process Validation Report</t>
    <phoneticPr fontId="1" type="noConversion"/>
  </si>
  <si>
    <t>- The physico-chemical properties of products do not meets as different raw materials (Shiseido HA, BDDE) are weighed contrary to the manufacturing instructions due to an operator’s mistake</t>
    <phoneticPr fontId="1" type="noConversion"/>
  </si>
  <si>
    <t>It is necessary to manage the residual on DVS(Divinyl sulfone) (not more than 2ppm)</t>
    <phoneticPr fontId="1" type="noConversion"/>
  </si>
  <si>
    <t>-Expiry date is incorreclty stated</t>
    <phoneticPr fontId="1" type="noConversion"/>
  </si>
  <si>
    <t>- The product is frozen by the user</t>
    <phoneticPr fontId="1" type="noConversion"/>
  </si>
  <si>
    <r>
      <t>[Operational hazards]
&lt;Use error&gt;</t>
    </r>
    <r>
      <rPr>
        <sz val="8"/>
        <rFont val="맑은 고딕"/>
        <family val="3"/>
        <charset val="129"/>
      </rPr>
      <t xml:space="preserve">
Rule-based failure
</t>
    </r>
    <phoneticPr fontId="1" type="noConversion"/>
  </si>
  <si>
    <t>Patient's age information not checked</t>
    <phoneticPr fontId="1" type="noConversion"/>
  </si>
  <si>
    <t xml:space="preserve">- Contraindication  is omitted from the instruction for use as below;
&lt;Contraindication&gt;
• Patients with hepatic failure or history thereof
</t>
    <phoneticPr fontId="1" type="noConversion"/>
  </si>
  <si>
    <t xml:space="preserve">- Contraindication  is omitted from the instruction for use as below;
&lt;Contraindication&gt;
• Patients with hypersensitivity to any components in this material
</t>
    <phoneticPr fontId="1" type="noConversion"/>
  </si>
  <si>
    <t>- The storage conditions of production is missing in labels, carton and instruction for use as below;.
【Storage】
• Protect from direct sunlight</t>
    <phoneticPr fontId="1" type="noConversion"/>
  </si>
  <si>
    <t xml:space="preserve">- The storage conditions of production is missing in labels, carton and instruction for use as below;.
【Storage】
• Do not freeze </t>
    <phoneticPr fontId="1" type="noConversion"/>
  </si>
  <si>
    <t>- The storage conditions of production is missing in labels, carton and instruction for use as below;.
【Storage】
• Keep dry</t>
    <phoneticPr fontId="1" type="noConversion"/>
  </si>
  <si>
    <t>- Orthopedist or related the doctor, do not use the new sterilized gloves or reuse the sterlized gloves</t>
    <phoneticPr fontId="1" type="noConversion"/>
  </si>
  <si>
    <t>- Insert the corresponding phrase in Instruction for Use
【How to Use】
1) Before the Use
• Check the graduation mark on the syringe label.
4) Recommended dose
• The recommended treatment regimen is 2mL injection in the knee. Injection interval (more than 6months after the last injection) should be carefully considered according to the patient's symptoms.</t>
    <phoneticPr fontId="1" type="noConversion"/>
  </si>
  <si>
    <t>- Verification of user's understanding of instructions for use
-The symbols display in the syringe label, blister label and carton as below;
• Symbol(Consult instructions for use)
- Insert the corresponding phrase in Instruction for Use
【How to Use】
4) Recommended dose
• The recommended treatment regimen is 2mL injection in the knee. Injection interval(more than 6months after the last injection) should be carefully considered according to the patient's symptoms
【PRECAUTION】
• The healthcare professional should read and understand the ins truction for use (IFU) of the product.</t>
    <phoneticPr fontId="1" type="noConversion"/>
  </si>
  <si>
    <t>- The product is stored at humid place by the user</t>
    <phoneticPr fontId="1" type="noConversion"/>
  </si>
  <si>
    <t xml:space="preserve">- Verification of understanding of user interaction confirmation
-Insert the following symbols for storage conditions in cartons and labels
• Keep dry
'- Insert the corresponding phrase in Instruction for Use
【Storage】
• Keep dry  
                                                                                                                                                                           </t>
    <phoneticPr fontId="1" type="noConversion"/>
  </si>
  <si>
    <t xml:space="preserve">- Verification of understanding of user interaction confirmation
-Insert the following symbols for storage conditions in cartons and labels
• Keep away from sunlight
'- Insert the corresponding phrase in Instruction for Use
【Storage】 
• Protect from direct sunlight
</t>
    <phoneticPr fontId="1" type="noConversion"/>
  </si>
  <si>
    <t xml:space="preserve">- Verification of understanding of user interaction confirmation
'- Insert the corresponding phrase in Instruction for Use
【Storage】
• Do not freeze </t>
    <phoneticPr fontId="1" type="noConversion"/>
  </si>
  <si>
    <t xml:space="preserve">- Verification of understanding of user interaction confirmation
-Insert the following symbols for storage conditions in cartons and labels
• Temperature limitation from 1℃ to 30℃
'- Insert the corresponding phrase in Instruction for Use
【Storage】
• Store in original packaging at 1 to 30℃                                                                                                                                                              </t>
    <phoneticPr fontId="1" type="noConversion"/>
  </si>
  <si>
    <t>Arthralgia, Tenderness, Joint stiffness</t>
    <phoneticPr fontId="1" type="noConversion"/>
  </si>
  <si>
    <t>Muscle spasms</t>
    <phoneticPr fontId="1" type="noConversion"/>
  </si>
  <si>
    <t>Edema, Rash, Bruise</t>
    <phoneticPr fontId="1" type="noConversion"/>
  </si>
  <si>
    <t>【INTERACTIONS with Other Medicinal Substance or Medical Device】
• Do not treat with Vitamin C or Vitamin E since hyaluronic acid could be degraded by
co-administration with the product.</t>
    <phoneticPr fontId="1" type="noConversion"/>
  </si>
  <si>
    <t>Do not use if the packaging(syringe, needle) is
opened or damaged.</t>
    <phoneticPr fontId="1" type="noConversion"/>
  </si>
  <si>
    <t>Do not use if the needle is not enclosed in package.</t>
    <phoneticPr fontId="1" type="noConversion"/>
  </si>
  <si>
    <t>Gel is injected in the knee joint and maintained for not less than 6 months</t>
    <phoneticPr fontId="1" type="noConversion"/>
  </si>
  <si>
    <t>The 23G needle, packed in the blister, should be used for injection</t>
    <phoneticPr fontId="1" type="noConversion"/>
  </si>
  <si>
    <t>- There are no protective measures that can control the risk as it is caused by a use error</t>
    <phoneticPr fontId="1" type="noConversion"/>
  </si>
  <si>
    <t>- There is no option to control the risk by design as this is a use error which is not relevant to the product’s design</t>
    <phoneticPr fontId="1" type="noConversion"/>
  </si>
  <si>
    <t>-Checklist of Packaging Material for Medical device
-Instruction for Use and Incoming Inspection Report
-Finished Product Test Report</t>
    <phoneticPr fontId="1" type="noConversion"/>
  </si>
  <si>
    <t>-Material Final (Plan) Review
-Incoming Inspection
-Outgoing Inspection</t>
    <phoneticPr fontId="1" type="noConversion"/>
  </si>
  <si>
    <t xml:space="preserve">-Checklist of Packaging Material for Medical device
-Instruction for Use and Incoming Inspection Report
</t>
    <phoneticPr fontId="1" type="noConversion"/>
  </si>
  <si>
    <t>Contraindication
• The product should not be used in infected or severely inflamed joints or in patients having skin diseases or infections in the area or the injection site.</t>
    <phoneticPr fontId="1" type="noConversion"/>
  </si>
  <si>
    <t xml:space="preserve">Use environment 
: The injection should be performed in medical procedure rooms or in rooms with high
level of conditions
</t>
    <phoneticPr fontId="1" type="noConversion"/>
  </si>
  <si>
    <t>-verification of transportation method</t>
    <phoneticPr fontId="1" type="noConversion"/>
  </si>
  <si>
    <t>-Shipping Validation</t>
    <phoneticPr fontId="1" type="noConversion"/>
  </si>
  <si>
    <t>- Material Final (Plan) Review
-Incoming Inspection</t>
    <phoneticPr fontId="1" type="noConversion"/>
  </si>
  <si>
    <t>-Syringe Label, Blister Label, Carton
-Instruction for Use</t>
    <phoneticPr fontId="1" type="noConversion"/>
  </si>
  <si>
    <t>- Setting of IPC items suitable for proper process conditions and major quality characteristics by process</t>
    <phoneticPr fontId="1" type="noConversion"/>
  </si>
  <si>
    <t>-DOE (Design of Experiment) Report</t>
    <phoneticPr fontId="1" type="noConversion"/>
  </si>
  <si>
    <t>-Setting the product specification
-Give instructions by specifying the agitating speed (DVS dripping) in the manufacturing report
-DVS's dripping time is verified through process validation
-Outgoing Inspection</t>
    <phoneticPr fontId="1" type="noConversion"/>
  </si>
  <si>
    <t>-Product Specification
-Manufacturing Record
-Process Validation Report
-Finished Product Test Report</t>
    <phoneticPr fontId="1" type="noConversion"/>
  </si>
  <si>
    <t xml:space="preserve">-Product Specification
-Manufacturing Record
-Finished Product Test Report
</t>
    <phoneticPr fontId="1" type="noConversion"/>
  </si>
  <si>
    <t>-DOE (Design of Experiment) Report</t>
    <phoneticPr fontId="1" type="noConversion"/>
  </si>
  <si>
    <t xml:space="preserve">-Product Specification
-Manufacturing Record
.-Process Validation Report
-Finished Product Test Report
</t>
    <phoneticPr fontId="1" type="noConversion"/>
  </si>
  <si>
    <t xml:space="preserve">-Product Specification
- Manufacturing Record
-Finished Product Test Report
</t>
    <phoneticPr fontId="1" type="noConversion"/>
  </si>
  <si>
    <t xml:space="preserve">-Setting the product specification
-Manufacturing Process Inspection Set
-Scale is used after checking whether it is calibrated prior to weighing
'- Perform daily inspection before weighing and perform periodic inspections
-Outgoing Inspection
- Training of workers is conducted
</t>
    <phoneticPr fontId="1" type="noConversion"/>
  </si>
  <si>
    <t>- Setting of IPC items suitable for proper process conditions and major quality characteristics by proces</t>
    <phoneticPr fontId="1" type="noConversion"/>
  </si>
  <si>
    <t xml:space="preserve">-Product Specification
-Manufacturing Record
-Finished Product Test Report
</t>
    <phoneticPr fontId="1" type="noConversion"/>
  </si>
  <si>
    <t>-Incoming Inspection
-Setting Test Method Standard Set
-Conduct a regular inspection or a suitability test and calibration for test equipment</t>
    <phoneticPr fontId="1" type="noConversion"/>
  </si>
  <si>
    <t>- There is no option to control the risk by design as this is a use error which is not relevant to the product’s design</t>
    <phoneticPr fontId="1" type="noConversion"/>
  </si>
  <si>
    <t>There are no protective measures that can control the risk as it is caused by design development.</t>
    <phoneticPr fontId="1" type="noConversion"/>
  </si>
  <si>
    <t>-User Interface Validation Report
-Blister label, Carton
-Instruction for use</t>
    <phoneticPr fontId="1" type="noConversion"/>
  </si>
  <si>
    <t>- Verification of user's understanding of instructions for use
- Insert the corresponding phrase in Blister label and Carton
[Composition] Each 1 syringe (2.0mL) contains;
4:1 w/w mixed hydrogel of sodium hyaluronate gel crosslinked by divinyl sulfone and sodium hyaluronate fluid 2.0 g (as Sodium Hyaluronate 40mg)
(Sodium Hyaluronate, Divinyl Sulfone, Potassium dihydrogen phosphate, Disodium monohydrogen phosphate dodecahydrate, Potassium Chloride, Sodium Chloride, Water for Injection)
- Insert the corresponding phrase in Instruction for Use
【Composition】Each 1 syringe (2.0mL) contains;
YYD-302-2mL: 4:1 w/w mixed hydrogel of sodium hyaluronate gel crosslinked by divinyl
sulfone and sodium hyaluronate fluid 2.0 g (as Sodium Hyaluronate 40mg)
• Contents; Sodium Hyaluronate, Divinyl Sulfone, Potassium dihydrogen phosphate,
Disodium monohydrogen phosphate dodecahydrate, Potassium Chloride, Sodium
Chloride, Water for Injection
• Component; a sterile needle
【Contraindication】
• Patients with hypersensitivity to any components in this product</t>
    <phoneticPr fontId="1" type="noConversion"/>
  </si>
  <si>
    <t>-Selection of suppliers with GMP, CE or ISO certification; and
-Selection of raw materials and material for which the pharmacopoeia standard or biological safety has been verified</t>
    <phoneticPr fontId="1" type="noConversion"/>
  </si>
  <si>
    <t>- Design and Development: Raw Material Spec. and Manufacturer's Certificate, Standard and Test Method</t>
    <phoneticPr fontId="1" type="noConversion"/>
  </si>
  <si>
    <t>Raw materials::  Buffer
(Potassium dihydrogen phosphate,
Disodium monohydrogen phosphate dodecahydrate, Potassium Chloride, Sodium
Chloride)</t>
    <phoneticPr fontId="1" type="noConversion"/>
  </si>
  <si>
    <t xml:space="preserve">-Design Development File: Material (Syringe) Specification and Supplier Certificate
-Biological Safety Evaluation Report
</t>
    <phoneticPr fontId="1" type="noConversion"/>
  </si>
  <si>
    <t>-Selection of suppliers with GMP, CE or ISO certification
-Selection of needles for which pharmacopoeial standards or biological safety have been verified</t>
    <phoneticPr fontId="1" type="noConversion"/>
  </si>
  <si>
    <t>- There are no protective measures that can control the risk as it is caused by design development.</t>
    <phoneticPr fontId="1" type="noConversion"/>
  </si>
  <si>
    <t>- Manufacturing Record
-Finished Product Test Report</t>
    <phoneticPr fontId="1" type="noConversion"/>
  </si>
  <si>
    <t>-DOE (Design of Experiment) Report</t>
    <phoneticPr fontId="1" type="noConversion"/>
  </si>
  <si>
    <t>-Product Specification
-Manufacturing Record
-Process Validation Report
-Finished Product Test Report</t>
    <phoneticPr fontId="1" type="noConversion"/>
  </si>
  <si>
    <t>- Conduct a container suitability test on the first package (syringes)</t>
    <phoneticPr fontId="1" type="noConversion"/>
  </si>
  <si>
    <t>- There is no option to control the risk by design as this is an manufacturing process error which is not relevant to the product’s design</t>
    <phoneticPr fontId="1" type="noConversion"/>
  </si>
  <si>
    <t xml:space="preserve">.-The clause is missing in instruction for use, as below;
• If the product is stored at a temperature lower than room temperature, leave it at room temperature for at least 15 minutes before use" </t>
    <phoneticPr fontId="1" type="noConversion"/>
  </si>
  <si>
    <t>-Selection of suppliers with GMP, CE or ISO certification
-Selection of raw material and material for which the 
pharmacopoeia standard or biological safety has been verified</t>
    <phoneticPr fontId="1" type="noConversion"/>
  </si>
  <si>
    <t>-Manufacturing Record
-Calibration report of scale
-Daily and routine scale inspection records</t>
    <phoneticPr fontId="1" type="noConversion"/>
  </si>
  <si>
    <t>-Setting the product specification
-Manufacturing Process Inspection Set
-Outgoing Inspection
'- Training of workers is conducted</t>
    <phoneticPr fontId="1" type="noConversion"/>
  </si>
  <si>
    <t xml:space="preserve">- Product Specification
- Manufacturing Record
-Finished Product Test Report
</t>
    <phoneticPr fontId="1" type="noConversion"/>
  </si>
  <si>
    <t>- There is no information to be provided to users as it would be unable to be checked by users</t>
    <phoneticPr fontId="1" type="noConversion"/>
  </si>
  <si>
    <t>-Verification of transportation method</t>
    <phoneticPr fontId="1" type="noConversion"/>
  </si>
  <si>
    <t xml:space="preserve">-Verification of user's understanding of instructions for use
- On syringe label, Blister label and carton, display the symbols as below.
• Symbol (Do not use if package is damaged.)
- Insert the corresponding phrase in Instruction for Use
【Precaution】
• STERILE CONTENTS GEL AND NEEDLE. EXTERIOR OF SYRINGE AND NEEDLE CASE/HUB CAP ARE NOT STERILE., therefore do not use if the packaging(syringe) is opened or damaged
</t>
    <phoneticPr fontId="1" type="noConversion"/>
  </si>
  <si>
    <t xml:space="preserve">-Setting Packaging Method Standard
-Packaging Method Verification
-Outgoing Inspection
</t>
    <phoneticPr fontId="1" type="noConversion"/>
  </si>
  <si>
    <t>-Syringe Label, Blister Label, Carton
-Instruction for Use</t>
    <phoneticPr fontId="1" type="noConversion"/>
  </si>
  <si>
    <t xml:space="preserve">-Setting the product specification
-Manufacturing Process Inspection Set,
-Perform the operation after checking the status of the stirring equipment  before work, and;
-Set visual inspection with IPC items (HA dissolution state)
-Outgoing Inspection
</t>
  </si>
  <si>
    <t>-Setting the product specification
-Setting the Manufacturing Process Inspection, and 
-Before work, check the equipment status and then perform work
-Verification of airtightness is carried out through Process Validation and IPC.
-Outgoing Inspection</t>
  </si>
  <si>
    <t>'-Checklist of Packaging Material for Medical device
-Label, Instruction for Use and Incoming 
- Inspection Report
-Finished Product Test Report</t>
    <phoneticPr fontId="1" type="noConversion"/>
  </si>
  <si>
    <t>- There is no option to control the risk by design as this is a manufacturing process error which is not relevant to the product’s design</t>
    <phoneticPr fontId="1" type="noConversion"/>
  </si>
  <si>
    <t>-Insert the corresponding phrase in Instruction for Use
【Precaution】
• This product is a colorless gel, so do not use it if it has dis coloration or foreign substances are found.</t>
    <phoneticPr fontId="1" type="noConversion"/>
  </si>
  <si>
    <t>-Setting the product specification
-Manufacturing Process Inspection Set
-Verify filter performance through IPC integrity test
-Outgoing Inspection</t>
    <phoneticPr fontId="1" type="noConversion"/>
  </si>
  <si>
    <t>-Product Specification
-Manufacturing Record
-Finished Product Test Report</t>
    <phoneticPr fontId="1" type="noConversion"/>
  </si>
  <si>
    <t>-Setting the product specification
-Control endotoxin and microbial of water for injection regularly
-Perform endotoxin test and sterility test
-Outgoing Inspection</t>
    <phoneticPr fontId="1" type="noConversion"/>
  </si>
  <si>
    <t>- Set expiration date</t>
    <phoneticPr fontId="1" type="noConversion"/>
  </si>
  <si>
    <t>-Stability Test Report</t>
    <phoneticPr fontId="1" type="noConversion"/>
  </si>
  <si>
    <t xml:space="preserve">-Checklist of Packaging Material for Medical device
-Label, Instruction for Use and Incoming 
'-Inspection Report
</t>
    <phoneticPr fontId="1" type="noConversion"/>
  </si>
  <si>
    <t xml:space="preserve">-Material Final (Plan) Review
-Label, Instruction, and Incoming Inspection Set
-Incoming Inspection
</t>
    <phoneticPr fontId="1" type="noConversion"/>
  </si>
  <si>
    <t>-Material Final (Plan) Review
-Label, Instruction, and Incoming Inspection Set
-Incoming Inspection
-Outgoing Inspection</t>
    <phoneticPr fontId="1" type="noConversion"/>
  </si>
  <si>
    <t xml:space="preserve">- Material Final (Plan) Review
-Incoming Inspection
</t>
    <phoneticPr fontId="1" type="noConversion"/>
  </si>
  <si>
    <t>- Label, Instruction for Use and Incoming
- Inspection Report</t>
    <phoneticPr fontId="1" type="noConversion"/>
  </si>
  <si>
    <t>- Label, Instruction, and Incoming Inspection Set
- Incoming Inspection</t>
    <phoneticPr fontId="1" type="noConversion"/>
  </si>
  <si>
    <t>- Label, Instruction, and Incoming Inspection Set
- Incoming Inspection</t>
    <phoneticPr fontId="1" type="noConversion"/>
  </si>
  <si>
    <t>'-Setting Raw Material and Material Standard (Needle)
-Incoming Inspection
-Supplier evaluation
-Setting the product specification
-Outgoing Inspection</t>
    <phoneticPr fontId="1" type="noConversion"/>
  </si>
  <si>
    <t>-Verification of user's understanding of instructions for use
- Insert the corresponding phrase in Instruction for Use
【How to Use】 
1) Before the use
• Carefully push the plunger rod until a small droplet is visible at the tip of the needle before product injection to check if the needle is clogged. If the needle is clogged, do not use the product. If a clogged needle is used, an injury may occur on account of damage of the syringe.</t>
    <phoneticPr fontId="1" type="noConversion"/>
  </si>
  <si>
    <t>-Verification of user's understanding of instructions for use
- Insert the corresponding phrase in Instruction for Use
【How to Use】 
1) Before the use
• To ensure a tight seal and prevent leakage during administration, secure the needle and
syringe tightly. If improper connection is made, it may burst and injure the user.
• Do not over tighten or apply excessive leverage when attaching the needle or removing the needle guard, as this may break the syringe tip.
2) Directions for Assembly.
• Remove the needle hub cap and the pre-filled syringe nozzle cap by turning.
(Be careful not to touch the needle and syringe inlet to maintain sterility after detachment).
• Secure the glass syringe barrel and Luer-lock adapter firmly using thumb and index finger. Insert the screw thread of the needle firmly into the syringe and connect them while screwing the needle hub which is holding with the other hand.
【PRECAUTION】
• The healthcare professional should read and understand the ins truction for use (IFU) of the product.</t>
    <phoneticPr fontId="1" type="noConversion"/>
  </si>
  <si>
    <t xml:space="preserve">-Verification of user's understanding of instructions for use
- Insert the corresponding phrase in Instruction for Use
【How to Use】 
1) Before the use
• Use a 23G needle packed in the blister
• To ensure a tight seal and prevent leakage during administration, secure the needle and
syringe tightly. If improper connection is made, it may burst and injure the user.
• Do not over tighten or apply excessive leverage when attaching the needle or removing the needle guard, as this may break the syringe tip.
2) Directions for Assembly.
• Remove the needle hub cap and the pre-filled syringe nozzle cap by turning.
(Be careful not to touch the needle and syringe inlet to maintain sterility after detachment).
• Secure the glass syringe barrel and Luer-lock adapter firmly using thumb and index finger. Insert the screw thread of the needle firmly into the syringe and connect them while screwing the needle hub which is holding with the other hand.
【Information of Needle】
• Manufacturer of Needle 
• Size
</t>
    <phoneticPr fontId="1" type="noConversion"/>
  </si>
  <si>
    <t>- There are no protective measures that can control the risk as it is caused by a use error</t>
    <phoneticPr fontId="1" type="noConversion"/>
  </si>
  <si>
    <t xml:space="preserve">- Verification of understanding of user interaction confirmation
-Insert the following symbols for storage conditions in cartons and labels
• Temperature limitation from 1℃ to 30℃
'- Insert the corresponding phrase in Instruction for Use
【Storage】
• Store in original packaging at 1 to 30℃ 
【PRECAUTION】
• The healthcare professional should read and understand the ins truction for use (IFU) of the product.
                                                                                                                                                                      </t>
    <phoneticPr fontId="1" type="noConversion"/>
  </si>
  <si>
    <t xml:space="preserve">- Verification of understanding of user interaction confirmation
'- Insert the corresponding phrase in Instruction for Use
【Storage】
• Do not freeze 
【PRECAUTION】
• The healthcare professional should read and understand the ins truction for use (IFU) of the product.
</t>
    <phoneticPr fontId="1" type="noConversion"/>
  </si>
  <si>
    <t xml:space="preserve">- Verification of understanding of user interaction confirmation
-Insert the following symbols for storage conditions in cartons and labels
• Keep away from sunlight
'- Insert the corresponding phrase in Instruction for Use
【Storage】 
• Protect from direct sunlight
【PRECAUTION】
• The healthcare professional should read and understand the ins truction for use (IFU) of the product.
</t>
    <phoneticPr fontId="1" type="noConversion"/>
  </si>
  <si>
    <t xml:space="preserve">- Verification of understanding of user interaction confirmation
-Insert the following symbols for storage conditions in cartons and labels
• Keep dry
'- Insert the corresponding phrase in Instruction for Use
【Storage】
• Keep dry 
【PRECAUTION】
• The healthcare professional should read and understand the ins truction for use (IFU) of the product.                                                                                                                                                                    </t>
    <phoneticPr fontId="1" type="noConversion"/>
  </si>
  <si>
    <t xml:space="preserve">-Setting of IPC items suitable for proper process conditions and major quality characteristics by process
-Injection Force Test Standard and Test Method Set
</t>
    <phoneticPr fontId="1" type="noConversion"/>
  </si>
  <si>
    <t>-DOE (Design of Experiment) Report
-Design and Development File : Injection Force Standard and Test Method</t>
    <phoneticPr fontId="1" type="noConversion"/>
  </si>
  <si>
    <t>- Needle Material Specification
- Incoming Inspection Report
-Process Validation Report
-Finished Product Test Report (Injection Force, Viscoelasticity)</t>
    <phoneticPr fontId="1" type="noConversion"/>
  </si>
  <si>
    <t>-Material Final (Plan) Review
-Outgoing Inspection</t>
    <phoneticPr fontId="1" type="noConversion"/>
  </si>
  <si>
    <t>-Verification of user's understanding of instructions for use
- Insert the corresponding phrase in Instruction for Use
【Adverse event】
•More Common adverse events at the injection site
•Adverse events that can occur regardless of cause and effect relationship</t>
    <phoneticPr fontId="1" type="noConversion"/>
  </si>
  <si>
    <t xml:space="preserve">-Material Final (Plan) Review
-Incoming Inspection
</t>
    <phoneticPr fontId="1" type="noConversion"/>
  </si>
  <si>
    <t>- There is no option to control the risk by design as this is a information error which is not relevant to the product’s design</t>
    <phoneticPr fontId="1" type="noConversion"/>
  </si>
  <si>
    <t>- Injected to the other area than the intended use</t>
    <phoneticPr fontId="1" type="noConversion"/>
  </si>
  <si>
    <t>- Injected to a shoulder joint not for a knee joint, which is narrower in space than a knee joint</t>
    <phoneticPr fontId="1" type="noConversion"/>
  </si>
  <si>
    <t xml:space="preserve">
Injected to pregnant woman or nursing mother</t>
    <phoneticPr fontId="1" type="noConversion"/>
  </si>
  <si>
    <t>Patient Group: Patients except for pregnant woman or nursing mother</t>
    <phoneticPr fontId="1" type="noConversion"/>
  </si>
  <si>
    <t>Injected to the person under age 18 despite that they had sufficient synovial fluid and narrow joint cavity</t>
    <phoneticPr fontId="1" type="noConversion"/>
  </si>
  <si>
    <t>-Injected in a distracted environment than high level of condition because the user is not fully aware of the IFU.</t>
    <phoneticPr fontId="1" type="noConversion"/>
  </si>
  <si>
    <t>- Injected to synovial tissue  by perfoming the treatment in distracting environment</t>
    <phoneticPr fontId="1" type="noConversion"/>
  </si>
  <si>
    <t>- Contraindication is omitted from the instruction for use as below;
&lt;Contraindication&gt;
• The product should not be used in infected or severely inflamed joints or in patients having skin diseases or infections in the area or the injection site.</t>
    <phoneticPr fontId="1" type="noConversion"/>
  </si>
  <si>
    <t>- Used in infected or severely inflamed joints or in patients having skin diseases or infections in the area or the injection site.</t>
    <phoneticPr fontId="1" type="noConversion"/>
  </si>
  <si>
    <t>- Used to patients with hepatic failure or history thereof.</t>
    <phoneticPr fontId="1" type="noConversion"/>
  </si>
  <si>
    <t xml:space="preserve">New onset of liver diseases or aggravation of the liver diseases
</t>
    <phoneticPr fontId="1" type="noConversion"/>
  </si>
  <si>
    <t>Hypersensitivity</t>
    <phoneticPr fontId="1" type="noConversion"/>
  </si>
  <si>
    <t>Injected to patient that may cause hypersensitivity one of the components</t>
    <phoneticPr fontId="1" type="noConversion"/>
  </si>
  <si>
    <t>- Contraindication is omitted from the instructions for use as below;
【Contraindication】
• Patients with rheumatoid arthritis</t>
    <phoneticPr fontId="1" type="noConversion"/>
  </si>
  <si>
    <t>Injected to the patients with rhematoid arthritis</t>
    <phoneticPr fontId="1" type="noConversion"/>
  </si>
  <si>
    <t>Aggravation of rheumatoid arthritis</t>
    <phoneticPr fontId="1" type="noConversion"/>
  </si>
  <si>
    <t>- Injected without checking the damage of syringe or needle's case/cap due to the omission of the clause " do not use if the packaging(syringe, needle) is opened or damaged." in intruction for use</t>
    <phoneticPr fontId="1" type="noConversion"/>
  </si>
  <si>
    <t>Injection of microbial contaminated product</t>
    <phoneticPr fontId="1" type="noConversion"/>
  </si>
  <si>
    <t>-Injection of microbial contaminated product by the damaged syringe or needles case/cap.</t>
    <phoneticPr fontId="1" type="noConversion"/>
  </si>
  <si>
    <t>- can't be injected because the needle is not enclosed in package.</t>
    <phoneticPr fontId="1" type="noConversion"/>
  </si>
  <si>
    <t>cannot be injected</t>
    <phoneticPr fontId="1" type="noConversion"/>
  </si>
  <si>
    <t>-The input of the amount of the main raw material (HA) isn't sufficient because the amount is miscalculated during weighing process</t>
    <phoneticPr fontId="1" type="noConversion"/>
  </si>
  <si>
    <t>- Injection of products with lower clinical effectiveness due to poor cross-linking of the product which leads to faster degradation</t>
    <phoneticPr fontId="4" type="noConversion"/>
  </si>
  <si>
    <t>- Dissolution of HA is incompleted due to failure to check the condition of the stirring equipment before operation for HA dissolution in the reaction process.</t>
    <phoneticPr fontId="1" type="noConversion"/>
  </si>
  <si>
    <t>- HA content is lower  due to too much swelling performed in swelling process</t>
    <phoneticPr fontId="1" type="noConversion"/>
  </si>
  <si>
    <t>- Injection of an amount that is not sufficient to have any clinical effectiveness</t>
    <phoneticPr fontId="1" type="noConversion"/>
  </si>
  <si>
    <t>-Result errors in the physicochemical test due to the using the defective test equipments during the release test</t>
    <phoneticPr fontId="1" type="noConversion"/>
  </si>
  <si>
    <t>- Injection of products with lower clinical effectiveness by reduced performance with lower viscoelasticity</t>
    <phoneticPr fontId="4" type="noConversion"/>
  </si>
  <si>
    <t>- Products which was failed to meet the physicochemical test specification of the release test are realesed</t>
    <phoneticPr fontId="1" type="noConversion"/>
  </si>
  <si>
    <t xml:space="preserve">
- DVS weighing error due to human error of an operator (lower amount of DVS is input)
</t>
    <phoneticPr fontId="1" type="noConversion"/>
  </si>
  <si>
    <t>- Injection of products with lower clinical effectiveness by reduced performance with different physico-chemical properties</t>
    <phoneticPr fontId="4" type="noConversion"/>
  </si>
  <si>
    <t>Product as hydrogel is injected in the knee joint</t>
    <phoneticPr fontId="1" type="noConversion"/>
  </si>
  <si>
    <t>Side effects arising from injected hydrogel</t>
    <phoneticPr fontId="1" type="noConversion"/>
  </si>
  <si>
    <t xml:space="preserve">Injected into a knee joint cavity through invasive contact by a needle.  </t>
    <phoneticPr fontId="1" type="noConversion"/>
  </si>
  <si>
    <t>- Injection of an excessive amount of the product compared to the space in a joint cavity</t>
    <phoneticPr fontId="1" type="noConversion"/>
  </si>
  <si>
    <t xml:space="preserve">- Injected without identifying patients with an allergy to polysaccharide. </t>
    <phoneticPr fontId="1" type="noConversion"/>
  </si>
  <si>
    <t xml:space="preserve">- Injected to patients with an allergy to polysaccharide </t>
    <phoneticPr fontId="1" type="noConversion"/>
  </si>
  <si>
    <t>- Bacteria-contaminated raw materials(HA) were used in manufacturing due to an error of the test result by the use of defective test  equipment during a material incoming test</t>
    <phoneticPr fontId="1" type="noConversion"/>
  </si>
  <si>
    <t>Injected a product which contains exceeded endotoxin than standards</t>
    <phoneticPr fontId="1" type="noConversion"/>
  </si>
  <si>
    <t>- A patient allergic to polysaccharose substances doesn't inform the matter well to the user(Orthopedist or related the doctor)'s questions.</t>
    <phoneticPr fontId="1" type="noConversion"/>
  </si>
  <si>
    <t>- At the stage of design development, unproven syringe suppliers was selected and contaminated syringe received</t>
    <phoneticPr fontId="1" type="noConversion"/>
  </si>
  <si>
    <t>- At the stage of design development, unverified suppliers of raw materials(buffers) were selected.</t>
    <phoneticPr fontId="1" type="noConversion"/>
  </si>
  <si>
    <t>- Injected a product which contains exceeded endotoxin than standards by manufactured using a contaminated syringe</t>
    <phoneticPr fontId="1" type="noConversion"/>
  </si>
  <si>
    <t>- Injected using a needle that is not biocompatible</t>
    <phoneticPr fontId="1" type="noConversion"/>
  </si>
  <si>
    <t>-  Poor(ununiform) mixture due to failure to check the condition of equipment before operation in the mixing process</t>
    <phoneticPr fontId="1" type="noConversion"/>
  </si>
  <si>
    <t>- Injection of products with lower clinical effectiveness by   poor (ununiform) mixture of cross-linked HA and HA fluid</t>
    <phoneticPr fontId="1" type="noConversion"/>
  </si>
  <si>
    <t>- Poor(ununiform) mixture due to mixing HA fluid(HA-PBS solution) with lower contents of HA than the standards by manufacturing failure to the cross-linked HA</t>
    <phoneticPr fontId="1" type="noConversion"/>
  </si>
  <si>
    <t>- Injection of products with an inadequate pH and Osmotic pressure</t>
    <phoneticPr fontId="1" type="noConversion"/>
  </si>
  <si>
    <t xml:space="preserve">pH result of the buffer is not passed even it meets the specifications due to the pH meter trouble
</t>
    <phoneticPr fontId="1" type="noConversion"/>
  </si>
  <si>
    <t>- Injection of products with an inadequate pH</t>
    <phoneticPr fontId="1" type="noConversion"/>
  </si>
  <si>
    <t>Poor buffer composition made (inadequate pH)
- Failure of pH control due to the input of hydrochloric acid in the PBS buffer manufacturing process</t>
    <phoneticPr fontId="1" type="noConversion"/>
  </si>
  <si>
    <t xml:space="preserve">Poor buffer composition
(inadequate pH and osmotic pressure)
- Failure to set buffer temperature in the PBS buffer manufacturing process leads to trouble in dissolution
</t>
    <phoneticPr fontId="1" type="noConversion"/>
  </si>
  <si>
    <t>- Injected the product just after taking the product from the refrigerator because the user is not fully aware of the IFU.</t>
    <phoneticPr fontId="1" type="noConversion"/>
  </si>
  <si>
    <t>- Injection of refrigerated products</t>
    <phoneticPr fontId="1" type="noConversion"/>
  </si>
  <si>
    <t>- At the stage of design development, pyrogenic raw material(HA) sources were selected.</t>
    <phoneticPr fontId="1" type="noConversion"/>
  </si>
  <si>
    <t xml:space="preserve">-DVS weighing error due to human error of an operator (excessive amount of DVS is input)
</t>
    <phoneticPr fontId="1" type="noConversion"/>
  </si>
  <si>
    <t>During DVS weighing process, excessive amount of DVS is input by malfunctioning of the scales due to non-performing of daily and routine scale inspections and calibration.</t>
    <phoneticPr fontId="1" type="noConversion"/>
  </si>
  <si>
    <t>Injected through a needle contaminated with bacteria</t>
    <phoneticPr fontId="1" type="noConversion"/>
  </si>
  <si>
    <t>-Microbial contaminated product is provided to the user as the syringe is damaged during transportation</t>
    <phoneticPr fontId="1" type="noConversion"/>
  </si>
  <si>
    <t>- Poor sterilization occured by non-compliance with sterilization process conditions due to an operator’s mistake</t>
    <phoneticPr fontId="1" type="noConversion"/>
  </si>
  <si>
    <t>Injected products contaminated with bacteria</t>
    <phoneticPr fontId="1" type="noConversion"/>
  </si>
  <si>
    <t>- The clause below is missing in instruction for use:
"The gel of the syringe must be used immediately after its packaging is opened."</t>
    <phoneticPr fontId="1" type="noConversion"/>
  </si>
  <si>
    <t>- The product contaminated over time after opening was injected.</t>
    <phoneticPr fontId="1" type="noConversion"/>
  </si>
  <si>
    <t>-The Autoclave is not properly set sterilization conditions to sterilize the instrument and part   that are using in charging and degassing process, due to an operator’s mistake 
(Failed sterilization of instruments and parts)</t>
    <phoneticPr fontId="1" type="noConversion"/>
  </si>
  <si>
    <t>-Bacterial contamination of unsealed raw materials due to weighing process conducted in an inappropriate environment.</t>
    <phoneticPr fontId="1" type="noConversion"/>
  </si>
  <si>
    <t>- Errors in the sterility test results due to the use of defective test equipment during a release test</t>
    <phoneticPr fontId="1" type="noConversion"/>
  </si>
  <si>
    <t>- Inadequte products with failure of endotoxin test results of a release test are released.</t>
    <phoneticPr fontId="1" type="noConversion"/>
  </si>
  <si>
    <t>- Inadequte products with failure of sterility test results of a release test are released.</t>
    <phoneticPr fontId="1" type="noConversion"/>
  </si>
  <si>
    <t>-Errors in the endotoxin test results due to the use of defective test equipment during a release test.</t>
    <phoneticPr fontId="1" type="noConversion"/>
  </si>
  <si>
    <t>- In purchasing process of HA raw materials, that are not suitable for endotoxin standards are received</t>
    <phoneticPr fontId="1" type="noConversion"/>
  </si>
  <si>
    <t>Injected a product which contains exceeded endotoxin than standards due to using microbial contaminated buffer</t>
    <phoneticPr fontId="1" type="noConversion"/>
  </si>
  <si>
    <t xml:space="preserve">- The water for injection of microbial contaminated or exceeding endotoxin standards is used in the manufacturing process.
</t>
    <phoneticPr fontId="1" type="noConversion"/>
  </si>
  <si>
    <t>Injected a product which contains exceeded endotoxin than standards due to using microbial contaminated water for injection</t>
    <phoneticPr fontId="1" type="noConversion"/>
  </si>
  <si>
    <t>- Bacteria contaminated syringes passed the material tests and are used in manufacturing process. (Leads to the products that exceed the endotoxin standards)</t>
    <phoneticPr fontId="1" type="noConversion"/>
  </si>
  <si>
    <t>- Injection of products with lower clinical effectiveness by reduced performance with expiry date passed.</t>
    <phoneticPr fontId="4" type="noConversion"/>
  </si>
  <si>
    <t>- Injection of products with lower clinical effectiveness by reduced performance with lower viscoelasticity</t>
    <phoneticPr fontId="4" type="noConversion"/>
  </si>
  <si>
    <t>- The information of the sterilization is missing in label and instruction for use. Thus, it is re-sterilized by user and leads to lower viscoelasticity.</t>
    <phoneticPr fontId="1" type="noConversion"/>
  </si>
  <si>
    <t>-The information of  the prohibition on resterilization is omitted from the label or instructions. Thus, it is re-sterilized by user and leads to lower viscoelasticity.</t>
    <phoneticPr fontId="1" type="noConversion"/>
  </si>
  <si>
    <t>Graduations on the label are set incorrectly, causing excessive injection more than intended amount.</t>
    <phoneticPr fontId="1" type="noConversion"/>
  </si>
  <si>
    <t>Graduations on the label are set incorrectly, causing insufficient injection less than intended amount.</t>
    <phoneticPr fontId="1" type="noConversion"/>
  </si>
  <si>
    <t>- Injection is not possible because the needle couldn't be assembled with the syringe</t>
    <phoneticPr fontId="1" type="noConversion"/>
  </si>
  <si>
    <t>-The syringe is incompletely assembled with needle by the user.</t>
    <phoneticPr fontId="1" type="noConversion"/>
  </si>
  <si>
    <t>Disassembly of needle from syringe</t>
    <phoneticPr fontId="1" type="noConversion"/>
  </si>
  <si>
    <t>- Disassembly of needle from syringe</t>
    <phoneticPr fontId="1" type="noConversion"/>
  </si>
  <si>
    <t>Disinfection using a disinfectant containing quaternary ammonium salts for skin
preparation because the user is not fully aware of the IFU.</t>
    <phoneticPr fontId="1" type="noConversion"/>
  </si>
  <si>
    <t>【INTERACTIONS with Other Medicinal Substance or Medical Device】
• Do not concomitantly use disinfectants containing quaternary ammonium salts for skin
preparation because hyaluronan can precipitate in their presence.</t>
    <phoneticPr fontId="1" type="noConversion"/>
  </si>
  <si>
    <t>Injection of Vitamin C or Vitamin E formulation with the product because the user is not fully aware of the IFU.</t>
    <phoneticPr fontId="1" type="noConversion"/>
  </si>
  <si>
    <t>【INTERACTIONS with Other Medicinal Substance or Medical Device】
• Do not treat with Vitamin C or Vitamin E since hyaluronic acid could be degraded by
co-administration with the product.</t>
    <phoneticPr fontId="1" type="noConversion"/>
  </si>
  <si>
    <t>Information of warning of the interaction below is omitted in instruction for use:
"Do not treat with Vitamin C or Vitamin E since hyaluronic acid could be degraded by
co-administration with the product."</t>
    <phoneticPr fontId="1" type="noConversion"/>
  </si>
  <si>
    <t>Information of warning of the interaction below is omitted in instruction for use:
"Do not concomitantly use disinfectants containing quaternary ammonium salts for skin
preparation because hyaluronan can precipitate in their presence."</t>
    <phoneticPr fontId="1" type="noConversion"/>
  </si>
  <si>
    <t>The expected performance is not implemented due to rapid degradation by interaction with  Vitamin C or Vitamin E</t>
    <phoneticPr fontId="1" type="noConversion"/>
  </si>
  <si>
    <t>- The product is stored at out of the temperature(1 to 30℃) by the user</t>
    <phoneticPr fontId="1" type="noConversion"/>
  </si>
  <si>
    <t xml:space="preserve">- The storage conditions of production is missing in labels, carton and instruction for use as below;.
【Storage】
• Store in original packaging at 1 to 30℃ </t>
    <phoneticPr fontId="1" type="noConversion"/>
  </si>
  <si>
    <t>- The product is stored at direct sunlight by the user</t>
    <phoneticPr fontId="1" type="noConversion"/>
  </si>
  <si>
    <t>-The information of disposal of used product are omitted from instructions for use. It leads reuse of products used to other patients.</t>
    <phoneticPr fontId="1" type="noConversion"/>
  </si>
  <si>
    <t>Injected through a needle contaminated with bacteria or contaminated product leads to cross-infection</t>
    <phoneticPr fontId="1" type="noConversion"/>
  </si>
  <si>
    <t>Injected through a needle contaminated with bacteria
leads to cross-infection.</t>
    <phoneticPr fontId="1" type="noConversion"/>
  </si>
  <si>
    <t>Injected through contaminated site of the patients, and leads to infection.</t>
    <phoneticPr fontId="1" type="noConversion"/>
  </si>
  <si>
    <t>The needle and/or syringe inlet is touched with non sterile hands during assembly.</t>
    <phoneticPr fontId="1" type="noConversion"/>
  </si>
  <si>
    <t>- Injected to the area where there are residual synovial and effusion because the user is not fully aware of the IFU.</t>
    <phoneticPr fontId="1" type="noConversion"/>
  </si>
  <si>
    <t>- Injected into the joint cavity where there is not sufficient space physically by synovial fluid  or effusion</t>
    <phoneticPr fontId="1" type="noConversion"/>
  </si>
  <si>
    <t xml:space="preserve">- Omission of some contents of side events in the instructions for use
</t>
    <phoneticPr fontId="1" type="noConversion"/>
  </si>
  <si>
    <t>- Injected to patients who have causes of side effects</t>
    <phoneticPr fontId="1" type="noConversion"/>
  </si>
  <si>
    <t>- The information of room condition are omitted in instructions for use as below;
medical procedure rooms or in rooms with high
level of conditions</t>
    <phoneticPr fontId="1" type="noConversion"/>
  </si>
  <si>
    <t>- Injected to joint muscle  by perfoming the treatment in distracting environment</t>
    <phoneticPr fontId="1" type="noConversion"/>
  </si>
  <si>
    <t>- Injected to a shoulder joint cavity as warning is omitted in instructions for use as bleow;
• Do not use for other intended uses.</t>
    <phoneticPr fontId="1" type="noConversion"/>
  </si>
  <si>
    <t>- Injected to synovial tissue as warning is omitted in instructions for use as bleow;
• Do not use for other intended uses.</t>
    <phoneticPr fontId="1" type="noConversion"/>
  </si>
  <si>
    <t>- Injected to joint muscles as warning is omitted in instructions for use as bleow;
• Do not use for other intended uses.</t>
    <phoneticPr fontId="1" type="noConversion"/>
  </si>
  <si>
    <t>- Injected to a shoulder joint not for a knee joint, which is narrower in space than a knee joint due to the lack of information of intended use.</t>
    <phoneticPr fontId="1" type="noConversion"/>
  </si>
  <si>
    <t>- Injeted to intravascular due to the lack of information of intended use.</t>
    <phoneticPr fontId="1" type="noConversion"/>
  </si>
  <si>
    <t>-  Injeted to intravascular as warning is omitted in instructions for use as bleow;
【Warning】
• Do not inject intravascularly.</t>
    <phoneticPr fontId="1" type="noConversion"/>
  </si>
  <si>
    <t>-Osmotic pressure and pH of PBS buffer do not meet the acceptance crteria as more or less quantities of raw materials (Potassium dihydrogen phosphate,
Disodium monohydrogen phosphate dodecahydrate, Potassium Chloride, Sodium
Chloride, Water for Injection) are weighed during weighing process compared to the setting manufacturing quantity</t>
    <phoneticPr fontId="1" type="noConversion"/>
  </si>
  <si>
    <t>-The filling amount is not sufficient (less than 2mL) due to non-compliance with the standards for the conditions in the filling process</t>
    <phoneticPr fontId="1" type="noConversion"/>
  </si>
  <si>
    <t xml:space="preserve">
- Poor degassing in the product due to failure to check the condition of equipment before operation in the filling process
</t>
    <phoneticPr fontId="1" type="noConversion"/>
  </si>
  <si>
    <t>- Whether nursing mother not checked</t>
    <phoneticPr fontId="1" type="noConversion"/>
  </si>
  <si>
    <t xml:space="preserve">
Injected to  nursing mother</t>
    <phoneticPr fontId="1" type="noConversion"/>
  </si>
  <si>
    <t>Impacts on infants</t>
    <phoneticPr fontId="1" type="noConversion"/>
  </si>
  <si>
    <t>Impacts on fetuses</t>
    <phoneticPr fontId="1" type="noConversion"/>
  </si>
  <si>
    <t xml:space="preserve">
Injected to pregnant womaner</t>
    <phoneticPr fontId="1" type="noConversion"/>
  </si>
  <si>
    <t>- Whether pregnant not checked</t>
    <phoneticPr fontId="1" type="noConversion"/>
  </si>
  <si>
    <t>- Inappropriate labelling of the intended use in instruction for use : It is instructed that the product can be applied to any joint in general, not specifically limited to a knee joint</t>
    <phoneticPr fontId="1" type="noConversion"/>
  </si>
  <si>
    <t>Injected to the person under age 18 despite that they had sufficient synovial fluid and narrow joint cavity</t>
    <phoneticPr fontId="1" type="noConversion"/>
  </si>
  <si>
    <t xml:space="preserve">- Injected to the person under age 18 as the age is unclear in contraindication, </t>
    <phoneticPr fontId="1" type="noConversion"/>
  </si>
  <si>
    <r>
      <t xml:space="preserve">1. 담당업무: 품질보증팀 관리자
2. 경력: 의약품 GMP관리 </t>
    </r>
    <r>
      <rPr>
        <b/>
        <sz val="10"/>
        <color rgb="FF0000FF"/>
        <rFont val="맑은 고딕"/>
        <family val="3"/>
        <charset val="129"/>
        <scheme val="minor"/>
      </rPr>
      <t>12</t>
    </r>
    <r>
      <rPr>
        <sz val="9"/>
        <color rgb="FF0000FF"/>
        <rFont val="맑은 고딕"/>
        <family val="3"/>
        <charset val="129"/>
        <scheme val="minor"/>
      </rPr>
      <t>년 경력
3. 교육 : ISO 14971:2019</t>
    </r>
    <phoneticPr fontId="1" type="noConversion"/>
  </si>
  <si>
    <r>
      <t xml:space="preserve">1. 담당업무: 품질보증팀 담당자
2. 경력: 의약품 GMP관리 </t>
    </r>
    <r>
      <rPr>
        <sz val="9"/>
        <color rgb="FF0000FF"/>
        <rFont val="맑은 고딕"/>
        <family val="3"/>
        <charset val="129"/>
        <scheme val="minor"/>
      </rPr>
      <t>2</t>
    </r>
    <r>
      <rPr>
        <sz val="9"/>
        <color theme="1"/>
        <rFont val="맑은 고딕"/>
        <family val="3"/>
        <charset val="129"/>
        <scheme val="minor"/>
      </rPr>
      <t xml:space="preserve">년 경력, , </t>
    </r>
    <r>
      <rPr>
        <sz val="9"/>
        <color rgb="FF0000FF"/>
        <rFont val="맑은 고딕"/>
        <family val="3"/>
        <charset val="129"/>
        <scheme val="minor"/>
      </rPr>
      <t>의료기기 GMP 관리 4년 경력</t>
    </r>
    <r>
      <rPr>
        <sz val="9"/>
        <color theme="1"/>
        <rFont val="맑은 고딕"/>
        <family val="3"/>
        <charset val="129"/>
        <scheme val="minor"/>
      </rPr>
      <t xml:space="preserve">
3. 교육수료: </t>
    </r>
    <r>
      <rPr>
        <sz val="9"/>
        <color rgb="FF0000FF"/>
        <rFont val="맑은 고딕"/>
        <family val="3"/>
        <charset val="129"/>
        <scheme val="minor"/>
      </rPr>
      <t>ISO 14971:2019</t>
    </r>
    <r>
      <rPr>
        <sz val="9"/>
        <color theme="1"/>
        <rFont val="맑은 고딕"/>
        <family val="3"/>
        <charset val="129"/>
        <scheme val="minor"/>
      </rPr>
      <t>, ISO13485, 위험관리방법</t>
    </r>
    <phoneticPr fontId="1" type="noConversion"/>
  </si>
  <si>
    <r>
      <t xml:space="preserve">1. Responsibility: Quality Assurance Team Officer
2. Work experience: Work experience: </t>
    </r>
    <r>
      <rPr>
        <sz val="9"/>
        <color rgb="FF0000FF"/>
        <rFont val="맑은 고딕"/>
        <family val="3"/>
        <charset val="129"/>
        <scheme val="minor"/>
      </rPr>
      <t>2</t>
    </r>
    <r>
      <rPr>
        <sz val="9"/>
        <color theme="1"/>
        <rFont val="맑은 고딕"/>
        <family val="3"/>
        <charset val="129"/>
        <scheme val="minor"/>
      </rPr>
      <t xml:space="preserve"> years of GMP management of pharmaceutical products </t>
    </r>
    <r>
      <rPr>
        <sz val="9"/>
        <color rgb="FF0000FF"/>
        <rFont val="맑은 고딕"/>
        <family val="3"/>
        <charset val="129"/>
        <scheme val="minor"/>
      </rPr>
      <t>and 4 years of GMP management of Medical device</t>
    </r>
    <r>
      <rPr>
        <sz val="9"/>
        <color theme="1"/>
        <rFont val="맑은 고딕"/>
        <family val="3"/>
        <charset val="129"/>
        <scheme val="minor"/>
      </rPr>
      <t xml:space="preserve">
3. Education:</t>
    </r>
    <r>
      <rPr>
        <sz val="9"/>
        <color rgb="FF0000FF"/>
        <rFont val="맑은 고딕"/>
        <family val="3"/>
        <charset val="129"/>
        <scheme val="minor"/>
      </rPr>
      <t xml:space="preserve"> ISO 14971:2019</t>
    </r>
    <r>
      <rPr>
        <sz val="9"/>
        <color theme="1"/>
        <rFont val="맑은 고딕"/>
        <family val="3"/>
        <charset val="129"/>
        <scheme val="minor"/>
      </rPr>
      <t>, ISO13485, Risk management method</t>
    </r>
    <phoneticPr fontId="1" type="noConversion"/>
  </si>
  <si>
    <t>Normal</t>
  </si>
  <si>
    <t>Fault</t>
  </si>
  <si>
    <t>Risk No.</t>
    <phoneticPr fontId="1" type="noConversion"/>
  </si>
  <si>
    <t>Contraindication, Warning, Caution, Precaution, etc.</t>
    <phoneticPr fontId="1" type="noConversion"/>
  </si>
  <si>
    <t>8.4 Benefit Risk Analysis</t>
    <phoneticPr fontId="1" type="noConversion"/>
  </si>
  <si>
    <t>8.5 Risks Arising from Risk Control Measures</t>
    <phoneticPr fontId="1" type="noConversion"/>
  </si>
  <si>
    <t>8.6 Completeness of Risk Control</t>
    <phoneticPr fontId="1" type="noConversion"/>
  </si>
  <si>
    <t>8.3.2 Residual Risk Information</t>
    <phoneticPr fontId="1" type="noConversion"/>
  </si>
  <si>
    <t>-Verification of user's understanding of instructions for use
- The symbols display in the syringe label, blister label and carton as below;
• Symbol(Consult instructions for use)
- Insert the corresponding phrase in Instruction for Use
【PRECAUTION】
• The healthcare professional should read and understand the ins truction for use (IFU)
of the product.
【Warning】
• Do not use for other Intended use</t>
  </si>
  <si>
    <t>The benefit-risk ratio is acceptable.</t>
    <phoneticPr fontId="1" type="noConversion"/>
  </si>
  <si>
    <t>No</t>
    <phoneticPr fontId="1" type="noConversion"/>
  </si>
  <si>
    <t>Yes
(20.12.20)</t>
    <phoneticPr fontId="1" type="noConversion"/>
  </si>
  <si>
    <t xml:space="preserve">-Verification of user's understanding of instructions for use
-Insert a schematic of the application site in the carton
-Insert indications  in cartons, blister labels. 
【Indication】 
• Osteoarthritis (OA) of the knee joint
- Insert the corresponding phrase in Instruction for Use
【Indication】 
• The product is treatment of Osteoarthritis(OA) of the knee 
【Intended Use】 
• The product is used as a pain reducer of osteoarthritis of th e knee. 
【How to Use】
3) Administration
• The product is injected into the knee joint and is Injected as a single intra-articular injection. </t>
  </si>
  <si>
    <t xml:space="preserve">-Insert a schematic of the application site in the carton
-Insert indications  in cartons, blister labels. 
【Indication】 
• Osteoarthritis (OA) of the knee joint
- Insert the corresponding phrase in Instruction for Use
【Indication】 
• The product is treatment of Osteoarthritis(OA) of the knee 
【Intended Use】 
• The product is used as a pain reducer of osteoarthritis of the knee. 
【How to Use】
3) Administration
• The product is injected into the knee joint and is Injected as a single intra-articular injection. </t>
  </si>
  <si>
    <t>-Verification of user's understanding of instructions for use
-The symbols display in the syringe label, blister label and carton as below;
• Symbol(Consult instructions for use)
- Insert the corresponding phrase in Instruction for Use
【Contraindication】
• Do not use for pregnant women, nursing mother and person under 18years of age.
【PRECAUTION】
• The healthcare professional should read and understand the ins truction for use (IFU)
of the product.</t>
  </si>
  <si>
    <t>-Verification of user's understanding of instructions for use
-The symbols display in the syringe label, blister label and carton as below;
• Symbol(Consult instructions for use)
- Insert the corresponding phrase in Instruction for Use
【Contraindication】
• Do not use for pregnant women, nursing mother and person under 18years of age.
【PRECAUTION】
• The healthcare professional should read and understand the ins truction for use (IFU) of the product.</t>
  </si>
  <si>
    <t>-Verification of user's understanding of instructions for use
- Insert the corresponding phrase in Instruction for Use
【PRECAUTION】
• In order to minimize the risk of potential complications, this product should only be
used by Orthopedist or related the doctor who have appropriate experience, and
who are knowledgeable about the anatomy at and around the site of injection</t>
  </si>
  <si>
    <t>-Verification of user's understanding of instructions for use
- Insert the corresponding phrase in Instruction for Use
【PRECAUTION】
• In order to minimize the risk of potential complications, this product should only be used by Orthopedist or related the doctor who have appropriate experience, and who are knowledgeable about the anatomy at and around the site of injection</t>
    <phoneticPr fontId="1" type="noConversion"/>
  </si>
  <si>
    <t>- Verification of user's understanding of instructions for use
-The symbols display in the syringe label, blister label and carton as below;
• Symbol(Consult instructions for use)
- Insert the corresponding phrase in Instruction for Use
【PRECAUTION】
• The healthcare professional should read and understand the ins truction for use (IFU) of the product.
• The injection should be performed in medical procedure rooms or in rooms with high level of conditions</t>
  </si>
  <si>
    <t>- Verification of user's understanding of instructions for use
-The symbols display in the syringe label, blister label and carton as below;
• Symbol(Consult instructions for use)
- Insert the corresponding phrase in Instruction for Use
【PRECAUTION】
• The healthcare professional should read and understand the ins truction for use (IFU) of the product.
• The injection should be performed in medical procedure rooms or in rooms with high level of conditions</t>
    <phoneticPr fontId="1" type="noConversion"/>
  </si>
  <si>
    <t>- Verification of understanding of user interaction confirmation
- Insert the corresponding phrase in Instruction for Use
【Contraindication】
• The product should not be used in infected or severely inflamed joints or in patients having skin diseases or infections in the area or the injection site.</t>
  </si>
  <si>
    <t>- Verification of understanding of user interaction confirmation
- Insert the corresponding phrase in Instruction for Use
【Contraindication】
• Patients with hypersensitivity to any components in this product</t>
    <phoneticPr fontId="1" type="noConversion"/>
  </si>
  <si>
    <t>- Verification of understanding of user interaction confirmation
- Insert the corresponding phrase in Instruction for Use
【Contraindication】
• Do not use for pregnant women, nursing mother and person under 18years of age</t>
    <phoneticPr fontId="1" type="noConversion"/>
  </si>
  <si>
    <t>- Verification of understanding of user interaction confirmation
- Insert the corresponding phrase in Instruction for Use
【Contraindication】
• Patients with rheumatoid arthritis</t>
    <phoneticPr fontId="1" type="noConversion"/>
  </si>
  <si>
    <t>-Verification of user's understanding of instructions for use
-Display the symbol on the label, carton.
• Symbol (Do not use if package is damaged.)
- Insert the corresponding phrase in Instruction for Use
【Precaution】
• STERILE CONTENTS GEL AND NEEDLE. EXTERIOR OF SYRINGE AND NEEDLE CASE / HUB CAP ARE NOT STERILE. Therefore do not use if the packaging(syringe, needle) is opened or damaged.</t>
    <phoneticPr fontId="1" type="noConversion"/>
  </si>
  <si>
    <t>- On syringe label, Blister label and carton, display the symbols as below.
• Symbol (Do not use if package is damaged.)</t>
    <phoneticPr fontId="1" type="noConversion"/>
  </si>
  <si>
    <t>-Verification of user's understanding of instructions for use
- Insert the corresponding phrase in Instruction for Use
【How to Use】
• Use a 23G needle packed in the blister. Do not use if the needle is not enclosed in the blister.</t>
    <phoneticPr fontId="1" type="noConversion"/>
  </si>
  <si>
    <t>- There is no information needed to be provided to users as it would be unable to be checked by users</t>
    <phoneticPr fontId="1" type="noConversion"/>
  </si>
  <si>
    <t>- Insert the corresponding phrase in Instruction for Use
【ADVERSE EVENT】
Along with its needed effects, this product may cause some unwanted effects. Although
not all of these adverse events may occur, if they do occur they may need medical
attention.
Check with your doctor or nurse immediately if any of the following adverse events occur:
* More common adverse events
Pain, Erythema, Redness, Swelling, Warmth, Hypersensitivity one of the components,
Fever, Inflammation.</t>
  </si>
  <si>
    <t>- Insert the corresponding phrase in Instruction for Use
【Side effects】
• Pain
• Disorders of skin and subcutaneous tissue (Bruise)</t>
  </si>
  <si>
    <t>- Insert the corresponding phrase in Instruction for Use
【How to Use】
1) Before the Use
• Check the graduation mark on the syringe label.
4) Recommended dose
• The recommended treatment regimen is 2mL injection in the knee. Injection interval (more than 6months after the last injection) should be carefully considered according to the patient's symptoms.</t>
  </si>
  <si>
    <t>- Verification of user's understanding of instructions for use
-The symbols display in the syringe label, blister label and carton as below;
• Symbol(Consult instructions for use)
- Insert the corresponding phrase in Instruction for Use
【How to Use】
4) Recommended dose
• The recommended treatment regimen is 2mL injection in the knee. Injection interval(more than 6months after the last injection) should be carefully considered according to the patient's symptoms
【PRECAUTION】
• The healthcare professional should read and understand the ins truction for use (IFU) of the product.</t>
  </si>
  <si>
    <t>-Verification of user's understanding of instructions for use
- Insert the corresponding phrase in Instruction for Use
【How to Use】
4) Recommended Use
The recommended treatment regimen is 2mL injection in the knee. Injection interval (more than 6months after the last injection) should be carefully considered according to the patient's symptoms.</t>
  </si>
  <si>
    <t>-Verification of user's understanding of instructions for use
- In the Labels and Carton, display the symbols as below.
• Symbol(Consult instructions for use)
• Symbol(Caution))
- Insert the corresponding phrase in Instruction for Use
【 Contraindication】
• Patients with hypersensitivity to any components in this product
【PRECAUTION】
• The healthcare professional should read and understand the ins truction for use (IFU) of the product.</t>
  </si>
  <si>
    <t>- Verification of user's understanding of instructions for use
- Insert the corresponding phrase in Blister label and Carton
[Composition] Each 1 syringe (2.0mL) contains;
4:1 w/w mixed hydrogel of sodium hyaluronate gel crosslinked by divinyl sulfone and sodium hyaluronate fluid 2.0 g (as Sodium Hyaluronate 40mg)
(Sodium Hyaluronate, Divinyl Sulfone, Potassium dihydrogen phosphate, Disodium monohydrogen phosphate dodecahydrate, Potassium Chloride, Sodium Chloride, Water for Injection)
- Insert the corresponding phrase in Instruction for Use
【Composition】Each 1 syringe (2.0mL) contains;
YYD-302-2mL: 4:1 w/w mixed hydrogel of sodium hyaluronate gel crosslinked by divinyl
sulfone and sodium hyaluronate fluid 2.0 g (as Sodium Hyaluronate 40mg)
• Contents; Sodium Hyaluronate, Divinyl Sulfone, Potassium dihydrogen phosphate,
Disodium monohydrogen phosphate dodecahydrate, Potassium Chloride, Sodium
Chloride, Water for Injection
• Component; a sterile needle
【Contraindication】
• Patients with hypersensitivity to any components in this product</t>
  </si>
  <si>
    <t>- Verification of user's understanding of instructions for use
-Insert the corresponding phrase in Instruction for Use
【Precaution】
• This product is a colorless gel, so do not use it if it has dis coloration or foreign substances are found.</t>
  </si>
  <si>
    <t>- Verification of user's understanding of instructions for use
- Insert the corresponding phrase in Instruction for Use
【PRECAUTION】
• The healthcare professional should read and understand the ins truction for use (IFU) of the product.
【How to Use】
1) Before the Use
• If the product is stored at a temperature lower than room temperature, leave it at room temperature for at least 15 minutes before use.</t>
  </si>
  <si>
    <t>- Verification of user's understanding of instructions for use
- Insert the corresponding phrase in Instruction for Use
【How to Use】
1) Before the use
• If the product is stored at a temperature lower than room temperature, leave it at room temperature for at least 15 minutes before use.</t>
    <phoneticPr fontId="1" type="noConversion"/>
  </si>
  <si>
    <t xml:space="preserve">-Verification of user's understanding of instructions for use
- On syringe label, Blister label and carton, display the symbols as below.
• Symbol (Do not use if package is damaged.)
- Insert the corresponding phrase in Instruction for Use
【Precaution】
• STERILE CONTENTS GEL AND NEEDLE. EXTERIOR OF SYRINGE AND NEEDLE CASE/HUB CAP ARE NOT STERILE., therefore do not use if the packaging(syringe) is opened or damaged
</t>
  </si>
  <si>
    <t>-Verification of user's understanding of instructions for use
-Display the symbol on the label, carton.
• Symbol (Do not use if package is damaged.)
- Insert the corresponding phrase in Instruction for Use
【Precaution】
• STERILE CONTENTS GEL AND NEEDLE. EXTERIOR OF SYRINGE AND NEEDLE CASE / HUB CAP ARE NOT STERILE. Therefore do not use if the packaging(syringe, needle) is opened or damaged.</t>
  </si>
  <si>
    <t>- Insert the corresponding phrase in Instruction for Use
【How to Use】
1) Before the use
• The gel of the syringe must be used immediately after its packaging is opened.</t>
  </si>
  <si>
    <t>- On syringe label, Blister label and carton, display the symbols as below.
• Symbol (Do not use if package is damaged.)
- Insert the corresponding phrase in Instruction for Use
【Precaution】
• This product is a colorless gel, so do not use it if it has dis coloration or foreign substances are found.
• STERILE CONTENTS GEL AND NEEDLE. EXTERIOR OF SYRINGE AND NEEDLE CASE / HUB CAP ARE NOT STERILE. Therefore do not use if the packaging(syringe, needle) is opened or damaged.</t>
  </si>
  <si>
    <t>-Insert the corresponding phrase in Instruction for Use
【Precaution】
• This product is a colorless gel, so do not use it if it has dis coloration or foreign substances are found.</t>
  </si>
  <si>
    <t>- Verification of  user's checking on expiration date
-Display the expiration date symbol in labels and cartons and specify the expiration date.
•Symbol (Use by date) : YYYY.MM.DD
- Insert the corresponding phrase in Instruction for Use
【How to Use】
1) Before the Use 
• Please check the expiration of syringe on the packaging (carton and labels) and do
not use the product that has expired.
【Shelf Life】 
• 3 years from the manufacturing date</t>
  </si>
  <si>
    <t>- Verification of  user's checking on expiration date
-Display the expiration date symbol in labels and cartons and specify the expiration date.
•Symbol (Use by date) : YYYY.MM.DD
- Insert the corresponding phrase in Instruction for Use
【How to Use】
1) Before the Use 
• Please check the expiration of syringe on the packaging (carton and labels) and do not use the product that has expired.
【Shelf Life】 
• 3 years from the manufacturing date</t>
  </si>
  <si>
    <t>- Verification of  user's checking on expiration date
-Display the expiration date symbol in labels and cartons and specify the expiration date.
•Symbol (Use by date) : YYYY.MM.DD
- Insert the corresponding phrase in Instruction for Use
【How to Use】
1) Before the Use 
• Please check the expiration date of syringe on the packaging (carton and labels) and do not use the product that has expired.
【Shelf Life】 
• 3 years from the manufacturing date</t>
  </si>
  <si>
    <t>- On syringe label, Blister label and carton, display the symbols as below.
(• Sterile Fluid path(Sterilized using steam)
(• Sterilized using exhylene oxide)
- Insert the corresponding phrase in Instruction for Use
【Precaution】
• STERILE CONTENTS GEL AND NEEDLE. EXTERIOR OF SYRINGE AND NEEDLE CASE / HUB CAP ARE NOT STERILE. Therefore do not use if the packaging(syringe, needle) is opened or damaged.
• This product is used for single use. Do not re-use or resterilize the syringe and needle.
【How supplied】
• The gel of the syringe and needle have been sterilized; the exterior surfaces of the syringe and needle case/hub cap are non-sterile. The needle (23G) is provided in the product package.</t>
  </si>
  <si>
    <t xml:space="preserve">- On syringe label, Blister label and carton, display the symbols as below.
(• Symbol(Do not resterilize)
- Insert the corresponding phrase in Instruction for Use
【Precaution】
• This product is used for single use. Do not re-use or resterilize the syringe and needle.
</t>
  </si>
  <si>
    <t>-Verification of user's understanding of instructions for use
- Insert the corresponding phrase in Instruction for Use
【How to Use】 
1) Before the use
• Do not over tighten or apply excessive leverage when attaching the needle or removing the needle guard, as this may break the syringe tip.
【Information of Needle】
• Manufacturer of Needle 
• Size</t>
  </si>
  <si>
    <t>-Verification of user's understanding of instructions for use
- Insert the corresponding phrase in Instruction for Use
【How to Use】 
1) Before the use
• Carefully push the plunger rod until a small droplet is visible at the tip of the needle before product injection to check if the needle is clogged. If the needle is clogged, do not use the product. If a clogged needle is used, an injury may occur on account of damage of the syringe.</t>
  </si>
  <si>
    <t>-Verification of user's understanding of instructions for use
- Insert the corresponding phrase in Instruction for Use
【How to Use】 
1) Before the use
• To ensure a tight seal and prevent leakage during administration, secure the needle and
syringe tightly. If improper connection is made, it may burst and injure the user.
• Do not over tighten or apply excessive leverage when attaching the needle or removing the needle guard, as this may break the syringe tip.
2) Directions for Assembly.
• Remove the needle hub cap and the pre-filled syringe nozzle cap by turning.
(Be careful not to touch the needle and syringe inlet to maintain sterility after detachment).
• Secure the glass syringe barrel and Luer-lock adapter firmly using thumb and index finger. Insert the screw thread of the needle firmly into the syringe and connect them while screwing the needle hub which is holding with the other hand.
【PRECAUTION】
• The healthcare professional should read and understand the ins truction for use (IFU) of the product.</t>
  </si>
  <si>
    <t>-Verification of user's understanding of instructions for use
- Insert the corresponding phrase in Instruction for Use
【How to Use】 
1) Before the use
• Use a 23G needle packed in the blister. Do not use if the needle is not enclosed in the blister.
【Information of Needle】
• Manufacturer of Needle
• Size</t>
  </si>
  <si>
    <t xml:space="preserve">-Verification of user's understanding of instructions for use
- Insert the corresponding phrase in Instruction for Use
【How to Use】 
1) Before the use
• Use a 23G needle packed in the blister
• To ensure a tight seal and prevent leakage during administration, secure the needle and
syringe tightly. If improper connection is made, it may burst and injure the user.
• Do not over tighten or apply excessive leverage when attaching the needle or removing the needle guard, as this may break the syringe tip.
2) Directions for Assembly.
• Remove the needle hub cap and the pre-filled syringe nozzle cap by turning.
(Be careful not to touch the needle and syringe inlet to maintain sterility after detachment).
• Secure the glass syringe barrel and Luer-lock adapter firmly using thumb and index finger. Insert the screw thread of the needle firmly into the syringe and connect them while screwing the needle hub which is holding with the other hand.
【Information of Needle】
• Manufacturer of Needle 
• Size
</t>
  </si>
  <si>
    <t>- Verification of understanding of user interaction confirmation
-The symbols display in the syringe label, blister label and carton as below;
• Symbol(Consult instructions for use)
- Insert the corresponding phrase in Instruction for Use
【PRECAUTION】
• The healthcare professional should read and understand the ins truction for use (IFU) of the product.
【INTERACTIONS with Other Medicinal Substance or Medical Device】
• Do not concomitantly use disinfectants containing quaternary ammonium salts for skin preparation because hyaluronan can precipitate in their presence.</t>
  </si>
  <si>
    <t>- Verification of understanding of user interaction confirmation
-The symbols display in the syringe label, blister label and carton as below;
• Symbol(Consult instructions for use)
- Insert the corresponding phrase in Instruction for Use
【PRECAUTION】
• The healthcare professional should read and understand the ins truction for use (IFU)
of the product.
【INTERACTIONS with Other Medicinal Substance or Medical Device】
• Do not concomitantly use disinfectants containing quaternary ammonium salts for skin preparation because hyaluronan can precipitate in their presence.</t>
  </si>
  <si>
    <t>- Verification of understanding of user interaction confirmation
-The symbols display in the syringe label, blister label and carton as below;
• Symbol(Consult instructions for use)
- Insert the corresponding phrase in Instruction for Use
【PRECAUTION】
• The healthcare professional should read and understand the ins truction for use (IFU)
of the product.
【INTERACTIONS with Other Medicinal Substance or Medical Device】
• Do not treat with Vitamin C or Vitamin E since hyaluronic acid could be degraded by co-administration with the product.</t>
  </si>
  <si>
    <t>- Verification of understanding of user interaction confirmation
-The symbols display in the syringe label, blister label and carton as below;
• Symbol(Consult instructions for use)
- Insert the corresponding phrase in Instruction for Use
【PRECAUTION】
• The healthcare professional should read and understand the ins truction for use (IFU) of the product.
【INTERACTIONS with Other Medicinal Substance or Medical Device】
• Do not treat with Vitamin C or Vitamin E since hyaluronic acid could be degraded by co-administration with the product..</t>
  </si>
  <si>
    <t xml:space="preserve">- Verification of understanding of user interaction confirmation
-Insert the following symbols for storage conditions in cartons and labels
• Temperature limitation from 1℃ to 30℃
'- Insert the corresponding phrase in Instruction for Use
【Storage】
• Store in original packaging at 1 to 30℃ 
【PRECAUTION】
• The healthcare professional should read and understand the ins truction for use (IFU) of the product.
                                                                                                                                                                      </t>
  </si>
  <si>
    <t xml:space="preserve">- Verification of understanding of user interaction confirmation
-Insert the following symbols for storage conditions in cartons and labels
• Temperature limitation from 1℃ to 30℃
'- Insert the corresponding phrase in Instruction for Use
【Storage】
• Store in original packaging at 1 to 30℃                                                                                                                                                              </t>
  </si>
  <si>
    <t xml:space="preserve">- Verification of understanding of user interaction confirmation
'- Insert the corresponding phrase in Instruction for Use
【Storage】
• Do not freeze 
【PRECAUTION】
• The healthcare professional should read and understand the ins truction for use (IFU) of the product.
</t>
  </si>
  <si>
    <t xml:space="preserve">- Verification of understanding of user interaction confirmation
'- Insert the corresponding phrase in Instruction for Use
【Storage】
• Do not freeze </t>
  </si>
  <si>
    <t xml:space="preserve">- Verification of understanding of user interaction confirmation
-Insert the following symbols for storage conditions in cartons and labels
• Keep away from sunlight
'- Insert the corresponding phrase in Instruction for Use
【Storage】 
• Protect from direct sunlight
【PRECAUTION】
• The healthcare professional should read and understand the ins truction for use (IFU) of the product.
</t>
  </si>
  <si>
    <t xml:space="preserve">- Verification of understanding of user interaction confirmation
-Insert the following symbols for storage conditions in cartons and labels
• Keep away from sunlight
'- Insert the corresponding phrase in Instruction for Use
【Storage】 
• Protect from direct sunlight
</t>
  </si>
  <si>
    <t xml:space="preserve">- Verification of understanding of user interaction confirmation
-Insert the following symbols for storage conditions in cartons and labels
• Keep dry
'- Insert the corresponding phrase in Instruction for Use
【Storage】
• Keep dry 
【PRECAUTION】
• The healthcare professional should read and understand the ins truction for use (IFU) of the product.                                                                                                                                                                    </t>
  </si>
  <si>
    <t xml:space="preserve">- Verification of understanding of user interaction confirmation
-Insert the following symbols for storage conditions in cartons and labels
• Keep dry
'- Insert the corresponding phrase in Instruction for Use
【Storage】
• Keep dry  
                                                                                                                                                                           </t>
  </si>
  <si>
    <t>- Insert the corresponding phrase in Instruction for Use
【How to Use】 
1) Before the use
• Carefully push the plunger rod until a small droplet is visible at the tip of the needle before product injection to check if the needle is clogged. If the needle is clogged, do not use the product. If a clogged needle is used, an injury may occur on account of damage of the syringe</t>
  </si>
  <si>
    <t>-Verification of user's understanding of instructions for use
- Insert the corresponding phrase in Instruction for Use
【How to store and control after use】
To prevent the cross-infection, the used syringe, needle and remaining gel are disposed to according to healthcare waste management procedure (i.e., national or local regulations) after use.
【PRECAUTION】
• This product is used for single use. Do not re-use or resterilize the syringe and needle.</t>
  </si>
  <si>
    <t>-Verification of user's understanding of instructions for use
-Display the symbol on the label, carton.
• Symbol (Single use, Do not reuse.)
- Insert the corresponding phrase in Instruction for Use
【 How to store and control after use】
To prevent the cross-infection, the used syringe, needle and remaining gel are disposed to according to healthcare waste management procedure (i.e., national or local regulations) after use.
【Precaution】
• This product is used for single use. Do not re-use or resterilize the syringe and needle.
• The healthcare professional should read and understand the ins truction for use (IFU) of the product.</t>
  </si>
  <si>
    <t>-Verification of user's understanding of instructions for use
-Display the symbol on the label, carton.
• Symbol (Do not reuse.)
- Insert the corresponding phrase in Instruction for Use
【 How to store and control after use】
To prevent the cross-infection, the used syringe, needle and remaining gel are disposed to according to healthcare waste management procedure (i.e., national or local regulations) after use.
【Precaution】
• This product is used for single use. Do not re-use or resterilize the syringe and needle.
• The healthcare professional should read and understand the ins truction for use (IFU) of the product.</t>
  </si>
  <si>
    <t>- Verification of understanding of user interaction confirmation
-The symbols display in the syringe label, blister label and carton as below;
• Symbol(Consult instructions for use)
- Insert the corresponding phrase in Instruction for Use
【PRECAUTION】
• This product is used for single use. Do not re-use or resteril ize the syringe and needle.
【How to store and control after use】
• This product is a single use sterile medical device, so after use, used syringe, needle and remaining gel should be To prevent the cross-infection, the used syringe, needle and remaining gel are disposed to according to healthcare waste management procedure (i.e., national or local regulations) after use.</t>
  </si>
  <si>
    <t>-Verification of user's understanding of instructions for use
- Insert the corresponding phrase in Instruction for Use
【How to Use】
• The injection site should be disinfected with alcohol or other appropriate disinfection solution that aren't containing quaternary ammonium salts prior to administration.</t>
  </si>
  <si>
    <t>-Verification of user's understanding of instructions for use
- Insert the corresponding phrase in Instruction for Use
【How to Use】
2) Directions for Assembly
• Remove the needle hub cap and the pre-filled syringe nozzle cap by turning. (Be careful not to touch the needle and syringe inlet to maintain sterility after detachment).</t>
  </si>
  <si>
    <t>-Verification of user's understanding of instructions for use
- Insert the corresponding phrase in Instruction for Use
【PRECAUTION】
• Injection technique involves the risk of infection, so aceptic administration technique and standard procedure must be followed to prevent cross infection.
• Orthopedist or related the doctor, should use the new sterilized gloves when handling
this product.</t>
  </si>
  <si>
    <t>-Verification of user's understanding of instructions for use
- The symbols display in the syringe label, blister label and carton as below;
• Symbol(Consult instructions for use)
- Insert the corresponding phrase in Instruction for Use
【How to Use】
1) Before the Use
• Remove synovial fluid or effusion before injecting the product, if needed.
【PRECAUTION】
• The healthcare professional should read and understand the ins truction for use (IFU) of the product.</t>
    <phoneticPr fontId="1" type="noConversion"/>
  </si>
  <si>
    <t>- Verification of user's understanding of instructions for use
- Insert the corresponding phrase in Instruction for Use
【PRECAUTION】
• Injection technique involves the risk of infection, so aceptic administration technique and standard procedure must be followed to prevent cross infection.
• The injection should be performed in medical procedure rooms or in rooms with high level of conditions)</t>
    <phoneticPr fontId="1" type="noConversion"/>
  </si>
  <si>
    <t>- Verification of understanding of user interaction confirmation
-Insert a schematic of the application site in the carton
-Insert indications in carton and blister label.
【Indication】 
• Osteoarthritis (OA) of the knee joint
- Insert the corresponding phrase in Instruction for Use
【Indication】 
• Osteoarthritis (OA) of the knee joint
【Intended Use】 
• The product is used as a pain reducer of osteoarthritis of the knee. 
【How to Use】
3) Administration
• The product is injected into the knee joint and is Injected as a single intra-articular injection.
【Warning】
• Do not use for other intended uses.</t>
    <phoneticPr fontId="1" type="noConversion"/>
  </si>
  <si>
    <t>- Verification of understanding of user interaction confirmation
-Insert a schematic of the application site in the carton
-Insert indications in carton and blister label.
【Indication】 
• Osteoarthritis (OA) of the knee joint
- Insert the corresponding phrase in Instruction for Use
【Indication】 
• Osteoarthritis (OA) of the knee joint
【Intended Use】 
• The product is used as a pain reducer of osteoarthritis of the knee. 
【How to Use】
3) Administration
• The product is injected into the knee joint and is Injected as a single intra-articular injection.
【Warning】
• Do not use for other intended uses.</t>
  </si>
  <si>
    <t>Contraindication, Warning, Caution, Precaution, etc.</t>
    <phoneticPr fontId="1" type="noConversion"/>
  </si>
  <si>
    <t>The benefit-risk ratio is acceptable.</t>
    <phoneticPr fontId="1" type="noConversion"/>
  </si>
  <si>
    <t>Yes
(20.12.20)</t>
    <phoneticPr fontId="1" type="noConversion"/>
  </si>
  <si>
    <t>- Verification of understanding of user interaction confirmation
- Insert the corresponding phrase in Instruction for Use
【Contraindication】
• Patients with hepatic failure or history thereofite.</t>
    <phoneticPr fontId="1" type="noConversion"/>
  </si>
  <si>
    <t>- There is no information needed to be provided to users as it would be unable to be checked by users</t>
    <phoneticPr fontId="1" type="noConversion"/>
  </si>
  <si>
    <t>No</t>
    <phoneticPr fontId="1" type="noConversion"/>
  </si>
  <si>
    <t>8.3 Residual Risk Evaluation</t>
    <phoneticPr fontId="1" type="noConversion"/>
  </si>
  <si>
    <t>8.3.1 Risk Estimation</t>
    <phoneticPr fontId="1" type="noConversion"/>
  </si>
  <si>
    <t>8.3.2 Residual Risk Evaluation</t>
    <phoneticPr fontId="1" type="noConversion"/>
  </si>
  <si>
    <t>8.1 Risk Control Option Analysis</t>
    <phoneticPr fontId="1" type="noConversion"/>
  </si>
  <si>
    <t xml:space="preserve">8.2 Implementation of
Risk Control Measures
</t>
    <phoneticPr fontId="1" type="noConversion"/>
  </si>
  <si>
    <t>7.0 Risk Evaluation</t>
    <phoneticPr fontId="1" type="noConversion"/>
  </si>
  <si>
    <t>6.5.1 Harm</t>
    <phoneticPr fontId="1" type="noConversion"/>
  </si>
  <si>
    <t>6.5.3 Risk Estimation</t>
    <phoneticPr fontId="1" type="noConversion"/>
  </si>
  <si>
    <t>6.5 Estimation of the Risk(s) for Each Hazardous Situation</t>
    <phoneticPr fontId="1" type="noConversion"/>
  </si>
  <si>
    <t>6.4.3 Hazardous Situation</t>
    <phoneticPr fontId="1" type="noConversion"/>
  </si>
  <si>
    <t xml:space="preserve">6.4.2 Initiating events and circumstances / casuses / worst normal conditions / Fault conditions / foreseeable misuse </t>
    <phoneticPr fontId="1" type="noConversion"/>
  </si>
  <si>
    <t>Normal or 
Fault</t>
    <phoneticPr fontId="1" type="noConversion"/>
  </si>
  <si>
    <t>- Unapproved needles  which couldn't assembled with the syringe has been received.</t>
    <phoneticPr fontId="1" type="noConversion"/>
  </si>
  <si>
    <t xml:space="preserve">- The clogged needle has been received.
</t>
    <phoneticPr fontId="1" type="noConversion"/>
  </si>
  <si>
    <t>- The gauge of needles which is greater than 23 gauge(it is means that the inner diameter of needle is smaller than 23G)s been packaged.</t>
    <phoneticPr fontId="1" type="noConversion"/>
  </si>
  <si>
    <t xml:space="preserve">- Information of a directions for assembly and the information of needle is missing in instruction for use.
</t>
    <phoneticPr fontId="1" type="noConversion"/>
  </si>
  <si>
    <t>- Used needles are not discarded and reused.</t>
    <phoneticPr fontId="1" type="noConversion"/>
  </si>
  <si>
    <t xml:space="preserve">- Reusing products used to other patients.
</t>
    <phoneticPr fontId="1" type="noConversion"/>
  </si>
  <si>
    <t>- Needles used in patients have not been discarded, causing healthcare providers to be stabbed.</t>
    <phoneticPr fontId="1" type="noConversion"/>
  </si>
  <si>
    <t>- The injection site of the patients is contaminated and any appropriate disinfection wasn't made before the administration.</t>
    <phoneticPr fontId="1" type="noConversion"/>
  </si>
  <si>
    <t>6.4.3 Foreseeable sequemces or
combination of events</t>
    <phoneticPr fontId="1" type="noConversion"/>
  </si>
  <si>
    <t>6.4.1 Hazard Identification</t>
    <phoneticPr fontId="1" type="noConversion"/>
  </si>
  <si>
    <t>6.4 Hazard Identification</t>
    <phoneticPr fontId="1" type="noConversion"/>
  </si>
  <si>
    <t>6.3 Intended Use &amp; Characteristic Identification</t>
    <phoneticPr fontId="1" type="noConversion"/>
  </si>
  <si>
    <t>- Injected to the other area than the intended use</t>
    <phoneticPr fontId="1" type="noConversion"/>
  </si>
  <si>
    <t>Warning
Do not inject intravascularly.</t>
    <phoneticPr fontId="1" type="noConversion"/>
  </si>
  <si>
    <r>
      <rPr>
        <b/>
        <sz val="8"/>
        <rFont val="맑은 고딕"/>
        <family val="3"/>
        <charset val="129"/>
      </rPr>
      <t>Severity</t>
    </r>
  </si>
  <si>
    <r>
      <rPr>
        <b/>
        <sz val="8"/>
        <rFont val="맑은 고딕"/>
        <family val="3"/>
        <charset val="129"/>
      </rPr>
      <t>Probability</t>
    </r>
  </si>
  <si>
    <r>
      <rPr>
        <b/>
        <sz val="8"/>
        <rFont val="맑은 고딕"/>
        <family val="3"/>
        <charset val="129"/>
      </rPr>
      <t>Risk</t>
    </r>
  </si>
  <si>
    <r>
      <rPr>
        <b/>
        <sz val="8"/>
        <rFont val="맑은 고딕"/>
        <family val="3"/>
        <charset val="129"/>
      </rPr>
      <t xml:space="preserve">Intended Use
</t>
    </r>
    <r>
      <rPr>
        <sz val="8"/>
        <rFont val="맑은 고딕"/>
        <family val="3"/>
        <charset val="129"/>
      </rPr>
      <t xml:space="preserve"> 
The product is used as a pain reducer of osteoarthritis of the knee.</t>
    </r>
    <phoneticPr fontId="1" type="noConversion"/>
  </si>
  <si>
    <r>
      <t>Protective</t>
    </r>
    <r>
      <rPr>
        <sz val="8"/>
        <rFont val="맑은 고딕"/>
        <family val="3"/>
        <charset val="129"/>
      </rPr>
      <t xml:space="preserve">
</t>
    </r>
    <r>
      <rPr>
        <b/>
        <sz val="8"/>
        <rFont val="맑은 고딕"/>
        <family val="3"/>
        <charset val="129"/>
      </rPr>
      <t>Measures</t>
    </r>
    <phoneticPr fontId="1" type="noConversion"/>
  </si>
  <si>
    <r>
      <rPr>
        <b/>
        <sz val="8"/>
        <rFont val="맑은 고딕"/>
        <family val="3"/>
        <charset val="129"/>
      </rPr>
      <t>[Information hazards]
&lt;Labelling&gt;</t>
    </r>
    <r>
      <rPr>
        <sz val="8"/>
        <rFont val="맑은 고딕"/>
        <family val="3"/>
        <charset val="129"/>
      </rPr>
      <t xml:space="preserve">
Inadequate specification of intended use
</t>
    </r>
    <phoneticPr fontId="1" type="noConversion"/>
  </si>
  <si>
    <t xml:space="preserve">-Verification of user's understanding of instructions for use
-Insert a schematic of the application site in the carton
-Insert indications  in cartons, blister labels. 
【Indication】 
• Osteoarthritis (OA) of the knee joint
- Insert the corresponding phrase in Instruction for Use
【Indication】 
• The product is treatment of Osteoarthritis(OA) of the knee 
【Intended Use】 
• The product is used as a pain reducer of osteoarthritis of th e knee. 
【How to Use】
3) Administration
• The product is injected into the knee joint and is Injected as a single intra-articular injection. </t>
    <phoneticPr fontId="1" type="noConversion"/>
  </si>
  <si>
    <t xml:space="preserve">-User Interface validation report
-Carton
-Blister Label, Carton
-Instruction for Use
</t>
    <phoneticPr fontId="1" type="noConversion"/>
  </si>
  <si>
    <t>- Omission of the intended use in instructions, cartons and blisters</t>
    <phoneticPr fontId="1" type="noConversion"/>
  </si>
  <si>
    <t xml:space="preserve">-Material Final (Plan) Review
-Incoming Inspection
</t>
    <phoneticPr fontId="1" type="noConversion"/>
  </si>
  <si>
    <t xml:space="preserve">-Checklist of Packaging Material for Medical device
-Instruction for Use and Incoming Inspection Report
</t>
    <phoneticPr fontId="1" type="noConversion"/>
  </si>
  <si>
    <t xml:space="preserve">-Insert a schematic of the application site in the carton
-Insert indications  in cartons, blister labels. 
【Indication】 
• Osteoarthritis (OA) of the knee joint
- Insert the corresponding phrase in Instruction for Use
【Indication】 
• The product is treatment of Osteoarthritis(OA) of the knee 
【Intended Use】 
• The product is used as a pain reducer of osteoarthritis of the knee. 
【How to Use】
3) Administration
• The product is injected into the knee joint and is Injected as a single intra-articular injection. </t>
    <phoneticPr fontId="1" type="noConversion"/>
  </si>
  <si>
    <t xml:space="preserve">-Carton
-Blister Label, Carton
-Instruction for Use
</t>
    <phoneticPr fontId="1" type="noConversion"/>
  </si>
  <si>
    <t>-User Interface validation report
-Syringe label, blister label and carton
-Instruction for use</t>
    <phoneticPr fontId="1" type="noConversion"/>
  </si>
  <si>
    <t>-Verification of user's understanding of instructions for use
-The symbols display in the syringe label, blister label and carton as below;
• Symbol(Consult instructions for use)
- Insert the corresponding phrase in Instruction for Use
【Contraindication】
• Do not use for pregnant women, nursing mother and person under 18years of age.
【PRECAUTION】
• The healthcare professional should read and understand the ins truction for use (IFU) of the product.</t>
    <phoneticPr fontId="1" type="noConversion"/>
  </si>
  <si>
    <t>-User Interface validation report
-Syringe label, blister label and carton
-Instruction for use</t>
    <phoneticPr fontId="1" type="noConversion"/>
  </si>
  <si>
    <t>Users: this product should only be
used by Orthopedist or related the doctor who have appropriate experience, and
who are knowledgeable about the anatomy at and around the site of injection.</t>
    <phoneticPr fontId="1" type="noConversion"/>
  </si>
  <si>
    <t>Injected by physician who is not orthopedist or related the doctor</t>
    <phoneticPr fontId="1" type="noConversion"/>
  </si>
  <si>
    <t>Injected to synovial tissue due to the lack of knowledge of joint cavity and injection skill as a non-professional(not intended user)</t>
    <phoneticPr fontId="1" type="noConversion"/>
  </si>
  <si>
    <t>-Verification of user's understanding of instructions for use
- Insert the corresponding phrase in Instruction for Use
【PRECAUTION】
• In order to minimize the risk of potential complications, this product should only be
used by Orthopedist or related the doctor who have appropriate experience, and
who are knowledgeable about the anatomy at and around the site of injection</t>
    <phoneticPr fontId="1" type="noConversion"/>
  </si>
  <si>
    <t>-User Interface validation report
-Instruction for use</t>
    <phoneticPr fontId="1" type="noConversion"/>
  </si>
  <si>
    <t>Injected to joint muscles due to the lack of knowledge of joint cavity and injection skill as a non-professional(not intended user)</t>
    <phoneticPr fontId="1" type="noConversion"/>
  </si>
  <si>
    <t>-Verification of user's understanding of instructions for use
- Insert the corresponding phrase in Instruction for Use
【PRECAUTION】
• In order to minimize the risk of potential complications, this product should only be used by Orthopedist or related the doctor who have appropriate experience, and who are knowledgeable about the anatomy at and around the site of injection</t>
    <phoneticPr fontId="1" type="noConversion"/>
  </si>
  <si>
    <t xml:space="preserve">Injected by physician who is not orthopedist or related the doctor due to the information of user is missing in instructions for use
</t>
    <phoneticPr fontId="1" type="noConversion"/>
  </si>
  <si>
    <t>- Verification of user's understanding of instructions for use
-The symbols display in the syringe label, blister label and carton as below;
• Symbol(Consult instructions for use)
- Insert the corresponding phrase in Instruction for Use
【PRECAUTION】
• The healthcare professional should read and understand the ins truction for use (IFU) of the product.
• The injection should be performed in medical procedure rooms or in rooms with high level of conditions</t>
    <phoneticPr fontId="1" type="noConversion"/>
  </si>
  <si>
    <t>- User Interface Validation Report
- the syringe label, blister label and carton
-Instruction for use</t>
    <phoneticPr fontId="1" type="noConversion"/>
  </si>
  <si>
    <t>- Verification of understanding of user interaction confirmation
- Insert the corresponding phrase in Instruction for Use
【Contraindication】
• The product should not be used in infected or severely inflamed joints or in patients having skin diseases or infections in the area or the injection site.</t>
    <phoneticPr fontId="1" type="noConversion"/>
  </si>
  <si>
    <t>- User Interface Validation Report
-Instruction for use</t>
    <phoneticPr fontId="1" type="noConversion"/>
  </si>
  <si>
    <t>- Verification of understanding of user interaction confirmation
- Insert the corresponding phrase in Instruction for Use
【Contraindication】
• Patients with hepatic failure or history thereofite.</t>
    <phoneticPr fontId="1" type="noConversion"/>
  </si>
  <si>
    <t>- Verification of understanding of user interaction confirmation
- Insert the corresponding phrase in Instruction for Use
【Contraindication】
• Patients with hypersensitivity to any components in this product</t>
    <phoneticPr fontId="1" type="noConversion"/>
  </si>
  <si>
    <r>
      <t xml:space="preserve">[Biological and chemical hazards]
&lt;Biological agents&gt;
</t>
    </r>
    <r>
      <rPr>
        <sz val="8"/>
        <rFont val="맑은 고딕"/>
        <family val="3"/>
        <charset val="129"/>
      </rPr>
      <t>Bacteria</t>
    </r>
    <r>
      <rPr>
        <b/>
        <sz val="8"/>
        <rFont val="맑은 고딕"/>
        <family val="3"/>
        <charset val="129"/>
      </rPr>
      <t xml:space="preserve">
</t>
    </r>
    <phoneticPr fontId="1" type="noConversion"/>
  </si>
  <si>
    <t>-Verification of user's understanding of instructions for use
-Display the symbol on the label, carton.
• Symbol (Do not use if package is damaged.)
- Insert the corresponding phrase in Instruction for Use
【Precaution】
• STERILE CONTENTS GEL AND NEEDLE. EXTERIOR OF SYRINGE AND NEEDLE CASE / HUB CAP ARE NOT STERILE. Therefore do not use if the packaging(syringe, needle) is opened or damaged.</t>
    <phoneticPr fontId="1" type="noConversion"/>
  </si>
  <si>
    <t>-User Interface Validation Report
-Syringe Label, Blister Label, Carton
-Instruction for Use</t>
    <phoneticPr fontId="1" type="noConversion"/>
  </si>
  <si>
    <t>- On syringe label, Blister label and carton, display the symbols as below.
• Symbol (Do not use if package is damaged.)
- Insert the corresponding phrase in Instruction for Use
【Precaution】
• STERILE CONTENTS GEL AND NEEDLE. EXTERIOR OF SYRINGE AND NEEDLE CASE / HUB CAP ARE NOT STERILE. Therefore do not use if the packaging(syringe, needle) is opened or damaged.</t>
    <phoneticPr fontId="1" type="noConversion"/>
  </si>
  <si>
    <t>-The needle is not enclosed in blister package.</t>
    <phoneticPr fontId="1" type="noConversion"/>
  </si>
  <si>
    <t>-Verification of user's understanding of instructions for use
- Insert the corresponding phrase in Instruction for Use
【How to Use】
• Use a 23G needle packed in the blister. Do not use if the needle is not enclosed in the blister.</t>
    <phoneticPr fontId="1" type="noConversion"/>
  </si>
  <si>
    <t>-User Interface validation report
-Instruction for Use</t>
    <phoneticPr fontId="1" type="noConversion"/>
  </si>
  <si>
    <t xml:space="preserve">- Crosslinking of HA is incompleted due to failure to adjust DVS dripping rate in the reaction process </t>
    <phoneticPr fontId="1" type="noConversion"/>
  </si>
  <si>
    <t>- Non-uniform crosslinking formation due to faillure to match incubation temperature and time(Flaw in Incubation)</t>
    <phoneticPr fontId="1" type="noConversion"/>
  </si>
  <si>
    <t xml:space="preserve">-Setting the product specification
-Give instructions by specifying the incubation temperature and time in the manufacturing report, and;
-Set visual inspection with IPC items (HA dissolution state)
-Set and verify incubation temperature and time through process validation.
-Outgoing Inspection
</t>
    <phoneticPr fontId="1" type="noConversion"/>
  </si>
  <si>
    <t xml:space="preserve">-Setting the product specification
-Manufacturing Process Inspection Set
-Outgoing Inspection
</t>
    <phoneticPr fontId="1" type="noConversion"/>
  </si>
  <si>
    <t>- Lower viscoelasticity of the product because it is manufactured using the intermediate (HA-DVS gel) which has lower amount of HA.</t>
    <phoneticPr fontId="1" type="noConversion"/>
  </si>
  <si>
    <t>- Selection of intermediate test standard set</t>
    <phoneticPr fontId="1" type="noConversion"/>
  </si>
  <si>
    <t xml:space="preserve">-Design Development File: intermediate Specification and Method </t>
    <phoneticPr fontId="1" type="noConversion"/>
  </si>
  <si>
    <t>-Setting the product specification
-Manufacturing Process Inspection Set
-Inspection of intermediate
-Outgoing Inspection</t>
    <phoneticPr fontId="1" type="noConversion"/>
  </si>
  <si>
    <t>-Product Specification
-Manufacturing Record
-Intermediate Test Report
-Finished Product Test Report</t>
    <phoneticPr fontId="1" type="noConversion"/>
  </si>
  <si>
    <t>- Lower viscoelasticity because it is manufactured using intermediate (HA-DVS gel) exceeding their expiration dates</t>
    <phoneticPr fontId="1" type="noConversion"/>
  </si>
  <si>
    <t>- Selection of intermediate stability test standard set</t>
    <phoneticPr fontId="1" type="noConversion"/>
  </si>
  <si>
    <t>-Design Development File: intermediate stability Test</t>
    <phoneticPr fontId="1" type="noConversion"/>
  </si>
  <si>
    <t>-Setting the product specification
- Specify the expiry date of intermediate in its test report</t>
    <phoneticPr fontId="1" type="noConversion"/>
  </si>
  <si>
    <t>-Product Specification
-Intermediate Test Report</t>
    <phoneticPr fontId="1" type="noConversion"/>
  </si>
  <si>
    <t>-Setting the product specification
-Manufacturing Process Inspection Set, 
- instructs manufacturing by specifying the range of filling speed in the manufacturing record, and;
-Verification of filling amount is carried out through IPC.
Outgoing Inspection</t>
    <phoneticPr fontId="1" type="noConversion"/>
  </si>
  <si>
    <t>- Insert the corresponding phrase in Instruction for Use
【How to Use】
1) Before the Use
• Check the graduation mark on the syringe label.
4) Recommended dose
• The recommended treatment regimen is 2mL injection in the knee. Injection interval (more than 6months after the last injection) should be carefully considered according to the patient's symptoms.</t>
    <phoneticPr fontId="1" type="noConversion"/>
  </si>
  <si>
    <t>-Setting the Test Method
-Conduct a suitability test and calibration for test equipment</t>
    <phoneticPr fontId="1" type="noConversion"/>
  </si>
  <si>
    <t>- Test Method SOP and Test Specification
- Qualification Report of test equipment
- Calibration cerificate</t>
    <phoneticPr fontId="1" type="noConversion"/>
  </si>
  <si>
    <t>-Setting the product specification
-Manufacturing Process Inspection Set, and;
-Perform the operation after checking the status of the  equipment before work.
-In Process validation, verify degassing by the items used in the filling process during process validation 
-Outgoing Inspection</t>
    <phoneticPr fontId="1" type="noConversion"/>
  </si>
  <si>
    <t>-Product Specification
-Manufacturing Record
-Process Validation Report
-Finished Product Test Report</t>
    <phoneticPr fontId="1" type="noConversion"/>
  </si>
  <si>
    <t>-Setting the product specification
-Manufacturing Process Inspection Set, and;
-Perform verification of  filling amount is carried out through IPC.
-Outgoing Inspection</t>
    <phoneticPr fontId="1" type="noConversion"/>
  </si>
  <si>
    <t>- More than 2mL, the maximum dose, has been injected into the treatment area due to the user(Orthopedist or related the doctor)’s unfamiliarity with the recommended dose.</t>
    <phoneticPr fontId="1" type="noConversion"/>
  </si>
  <si>
    <t>-User Interface Validation Report
-Syringe label, blister label and carton
-Instruction for use</t>
    <phoneticPr fontId="1" type="noConversion"/>
  </si>
  <si>
    <t>-Packaging Material Final (Plan) Review
-Incoming Inspection
-Outgoing Inspection</t>
    <phoneticPr fontId="1" type="noConversion"/>
  </si>
  <si>
    <t>-Verification of user's understanding of instructions for use
- Insert the corresponding phrase in Instruction for Use
【How to Use】
4) Recommended Use
The recommended treatment regimen is 2mL injection in the knee. Injection interval (more than 6months after the last injection) should be carefully considered according to the patient's symptoms.</t>
    <phoneticPr fontId="1" type="noConversion"/>
  </si>
  <si>
    <t xml:space="preserve">-User Interface Validation Report
'-Instruction for Use
</t>
    <phoneticPr fontId="1" type="noConversion"/>
  </si>
  <si>
    <t>-Verification of user's understanding of instructions for use
- In the Labels and Carton, display the symbols as below.
• Symbol(Consult instructions for use)
• Symbol(Caution))
- Insert the corresponding phrase in Instruction for Use
【 Contraindication】
• Patients with hypersensitivity to any components in this product
【PRECAUTION】
• The healthcare professional should read and understand the ins truction for use (IFU) of the product.</t>
    <phoneticPr fontId="1" type="noConversion"/>
  </si>
  <si>
    <t>-User Interface Validation Report
-Syringe Label, Blister Label, Carton
-Instruction for use</t>
    <phoneticPr fontId="1" type="noConversion"/>
  </si>
  <si>
    <t>- At the stage of design development, unverified suppliers of DVS were selected.</t>
    <phoneticPr fontId="1" type="noConversion"/>
  </si>
  <si>
    <t>- Injection of products with chemical toxicity.</t>
    <phoneticPr fontId="1" type="noConversion"/>
  </si>
  <si>
    <t>Inflammation, Burning, Fever, Pain</t>
    <phoneticPr fontId="1" type="noConversion"/>
  </si>
  <si>
    <t>-Selection of DVS suppliers with GMP, CE or ISO certification</t>
    <phoneticPr fontId="1" type="noConversion"/>
  </si>
  <si>
    <t>-Design Development File: Raw Material(DVS) Specification and Test Method, intermediate and Finished Product Safety Test Specification</t>
    <phoneticPr fontId="1" type="noConversion"/>
  </si>
  <si>
    <t>-Selection of suppliers with GMP or ISO certification
-Selection of syringe for which the pharmacopoeia standard or biological safety has been verified</t>
    <phoneticPr fontId="1" type="noConversion"/>
  </si>
  <si>
    <t>-At the stage of design development, an needle that are not bio-compatible with the human body wes selected.</t>
    <phoneticPr fontId="1" type="noConversion"/>
  </si>
  <si>
    <t>Substances isolated from the syringe (container, rubber stopper) are mixed into the product, which aren't proven compatible with gels</t>
    <phoneticPr fontId="1" type="noConversion"/>
  </si>
  <si>
    <t>-Setting Packaging Material(syringe) Standard
-Incoming Inspection
-Supplier evaluation
-Setting the product specification
-Outgoing Inspection</t>
    <phoneticPr fontId="1" type="noConversion"/>
  </si>
  <si>
    <t>-Packaging Material(Syringe) Specification
-Raw Material Test Report
-Supplier evaluation Report,
-Quality Agreement
-Product Specification,
-Manufacturing Record
-Finished Product Test Report</t>
    <phoneticPr fontId="1" type="noConversion"/>
  </si>
  <si>
    <t>- Verification of user's understanding of instructions for use
-Insert the corresponding phrase in Instruction for Use
【Precaution】
• This product is a colorless gel, so do not use it if it has dis coloration or foreign substances are found.</t>
    <phoneticPr fontId="1" type="noConversion"/>
  </si>
  <si>
    <t>-User Interface Validation Report
-Instruction for Use</t>
    <phoneticPr fontId="1" type="noConversion"/>
  </si>
  <si>
    <t>- Pyrogens have not been removed due to poor cleaning of manufacturing equipments and instruments.</t>
    <phoneticPr fontId="1" type="noConversion"/>
  </si>
  <si>
    <t>Injection of products with pyrogens</t>
    <phoneticPr fontId="1" type="noConversion"/>
  </si>
  <si>
    <t>- Verification of user's understanding of instructions for use
- Insert the corresponding phrase in Instruction for Use
【PRECAUTION】
• The healthcare professional should read and understand the ins truction for use (IFU) of the product.
【How to Use】
1) Before the Use
• If the product is stored at a temperature lower than room temperature, leave it at room temperature for at least 15 minutes before use.</t>
    <phoneticPr fontId="1" type="noConversion"/>
  </si>
  <si>
    <t>-User Interface Validation Report
-Instruction for use</t>
    <phoneticPr fontId="1" type="noConversion"/>
  </si>
  <si>
    <t>- Verification of user's understanding of instructions for use
- Insert the corresponding phrase in Instruction for Use
【How to Use】
1) Before the use
• If the product is stored at a temperature lower than room temperature, leave it at room temperature for at least 15 minutes before use.</t>
    <phoneticPr fontId="1" type="noConversion"/>
  </si>
  <si>
    <t xml:space="preserve">-Setting the product specification
-Manufacturing Process Inspection Set
-Scale is used after checking whether it is calibrated prior to weighing
-Instruct by specifying the indicated weighing quantities in the manufacturing report
-Outgoing Inspection
-Training of workers is conducted
</t>
    <phoneticPr fontId="1" type="noConversion"/>
  </si>
  <si>
    <t>-Product Specification
-Manufacturing Record
-Calibration report of scale
-Daily and routine scale inspection records
-Finished Product Test Report
-Perssonnel Training List</t>
    <phoneticPr fontId="1" type="noConversion"/>
  </si>
  <si>
    <t>Failure to cleansing DVS due to lack of buffer amount and less time of operation during swelling process (Excessive DVS residual amount)</t>
    <phoneticPr fontId="1" type="noConversion"/>
  </si>
  <si>
    <t>- Excessive residual DVS of the product because it is manufactured using the intermediate (HA-DVS gel) which has excessive residual DVS due to test error.</t>
    <phoneticPr fontId="1" type="noConversion"/>
  </si>
  <si>
    <t>-IntermediateTest Standard and Method Establishment</t>
    <phoneticPr fontId="1" type="noConversion"/>
  </si>
  <si>
    <t>-Design Development File:  Intermediate Specification and Test Method</t>
    <phoneticPr fontId="1" type="noConversion"/>
  </si>
  <si>
    <t>-Setting the product specification
-Manufacturing Process Inspection Set : inpection of intermediate
-Outgoing Inspection</t>
    <phoneticPr fontId="1" type="noConversion"/>
  </si>
  <si>
    <t xml:space="preserve">
.- Purchasing and packaging the needles which have failed sterilization</t>
    <phoneticPr fontId="1" type="noConversion"/>
  </si>
  <si>
    <t>Pseudosepsis arthritis, Septic arthritis, Fever, Rash, Effusion</t>
    <phoneticPr fontId="1" type="noConversion"/>
  </si>
  <si>
    <t>- Microbial contaminated needles provided to the user because the primary packaging(Case/Cap) of the needles had been damaged during transportation</t>
    <phoneticPr fontId="1" type="noConversion"/>
  </si>
  <si>
    <t>-User Interface validation report
-Syringe Label, Blister Label, Carton
-Instruction for Use</t>
    <phoneticPr fontId="1" type="noConversion"/>
  </si>
  <si>
    <t>-Setting the product specification
-Check the condition of the equipment before working (checking the sterilization conditions)
-Attachment of sterilization record sheet
-Outgoing Inspection
-Training of workers is conducted</t>
    <phoneticPr fontId="1" type="noConversion"/>
  </si>
  <si>
    <t>-Product specification
-Manufacturing Record
-Finished Product Test Report
-Perssonnel Training List</t>
    <phoneticPr fontId="1" type="noConversion"/>
  </si>
  <si>
    <t>Poor maintenance of airtightness due to failure to check the condition of the equipment before operation during the filling process (Failure to maintain aseptic conditions after sterilizing the product)</t>
    <phoneticPr fontId="1" type="noConversion"/>
  </si>
  <si>
    <t xml:space="preserve">- Non-confoming products that the stopper doesn't reached a position, have been mixed in and packaged during blister packing process, </t>
    <phoneticPr fontId="1" type="noConversion"/>
  </si>
  <si>
    <t xml:space="preserve">- Failure to maintain aseptic condition due to the syringe or the case of needle were damaged during the packaging process. 
</t>
    <phoneticPr fontId="1" type="noConversion"/>
  </si>
  <si>
    <t>Failure to screen out damaged syringes on visual inspection, syringes contaminated with foreign matters and syringes with a poorly located stopper</t>
    <phoneticPr fontId="1" type="noConversion"/>
  </si>
  <si>
    <t>-Setting the product specification
-Manufacturing Process Inspection Set, and;
 -Conduction of Foreign Matter Inspection 
-Clean Room Management
-Clean Room Qualification Evaluation
-Visual Inspector Qualification Test
-Outgoing inspection</t>
    <phoneticPr fontId="1" type="noConversion"/>
  </si>
  <si>
    <t>-Product Specification
-Manufacturing Record
-HVAC System PQ Report
-Clean Room Validation Report
(Clean Booth Qualification Summary Report)
-Record of visual Inspector Evaluation and verification
-The finished product test report</t>
    <phoneticPr fontId="1" type="noConversion"/>
  </si>
  <si>
    <t>- On syringe label, Blister label and carton, display the symbols as below.
• Symbol (Do not use if package is damaged.)
- Insert the corresponding phrase in Instruction for Use
【Precaution】
• This product is a colorless gel, so do not use it if it has dis coloration or foreign substances are found.
• STERILE CONTENTS GEL AND NEEDLE. EXTERIOR OF SYRINGE AND NEEDLE CASE / HUB CAP ARE NOT STERILE. Therefore do not use if the packaging(syringe, needle) is opened or damaged.</t>
    <phoneticPr fontId="1" type="noConversion"/>
  </si>
  <si>
    <t>-Setting the product specification
-Check the condition of the Autoclave before working (checking the sterilization conditions)
-Attachment of sterilization record sheet
-Outgoing Inspection
-Training of workers is conducted</t>
    <phoneticPr fontId="1" type="noConversion"/>
  </si>
  <si>
    <t>-Product Specification
-Master Production Instruction Record
-Finished Product Test Report
-Perssonnel Training List</t>
    <phoneticPr fontId="1" type="noConversion"/>
  </si>
  <si>
    <t>-Setting the product specification
-Setting the weighing zone in the manufacturing record
-Clean Room Management
-Clean Room Qualification Evaluation</t>
    <phoneticPr fontId="1" type="noConversion"/>
  </si>
  <si>
    <t>-Sterilization fails due to insufficient performance of the dry heat sterilizer for equipment, instruments and parts used for manufacturing process 
(Failed sterilization of instruments and parts)</t>
    <phoneticPr fontId="1" type="noConversion"/>
  </si>
  <si>
    <t>- Exceeded endotoxin contents because it is manufactured using the intermediate (HA-DVS gel) that is microbial contaminated by violations of storage conditions</t>
    <phoneticPr fontId="1" type="noConversion"/>
  </si>
  <si>
    <t>- Selection of intermediate storage condition, safety test standard set, establishment of test method, and intermediate test standard set</t>
    <phoneticPr fontId="1" type="noConversion"/>
  </si>
  <si>
    <t xml:space="preserve">-Design Development File: intermediate and Finished Product Safety Test Specification, intermediate Product Specification And Method </t>
    <phoneticPr fontId="1" type="noConversion"/>
  </si>
  <si>
    <t>-Setting the product specification
'- Periodically check and record the temperature conditions (refrigerateor) for the intermediate storage 
- Use of airtightness Intermediate storage container for  protecting contaminated with foreign matters or microbial.</t>
    <phoneticPr fontId="1" type="noConversion"/>
  </si>
  <si>
    <t>-Product Specification
- Intermediate storage (refrigerator) Logbook
- IQ,OQ of intermediate storage container</t>
    <phoneticPr fontId="1" type="noConversion"/>
  </si>
  <si>
    <t>- Exceeded endotoxin contents because it is manufactured because it is manufactured using the intermediate (HA-DVS gel) that do not meet the endotoxin and microbial standards.</t>
    <phoneticPr fontId="1" type="noConversion"/>
  </si>
  <si>
    <t xml:space="preserve">-Design Development File : intermediate  Specification And Method </t>
    <phoneticPr fontId="1" type="noConversion"/>
  </si>
  <si>
    <t>-Product Specification
-Manufacturing Record
-Intermediate Product Test Report
-Finished Product Test Report</t>
    <phoneticPr fontId="1" type="noConversion"/>
  </si>
  <si>
    <r>
      <t xml:space="preserve">[Biological and chemical hazards]
&lt;Biological agents&gt;
</t>
    </r>
    <r>
      <rPr>
        <sz val="8"/>
        <rFont val="맑은 고딕"/>
        <family val="3"/>
        <charset val="129"/>
      </rPr>
      <t>Bacteria</t>
    </r>
    <r>
      <rPr>
        <b/>
        <sz val="8"/>
        <rFont val="맑은 고딕"/>
        <family val="3"/>
        <charset val="129"/>
      </rPr>
      <t xml:space="preserve">
</t>
    </r>
  </si>
  <si>
    <t>-Setting the Test Method
-Conduct a suitability test and calibration for test equipment</t>
  </si>
  <si>
    <t>- Test Method SOP and Test Specification
- Qualification Report of test equipment
- Calibration cerificate</t>
  </si>
  <si>
    <t xml:space="preserve">- Microbial contamination of HA due to non-compliance with the storage conditions(temperature, sealing of package) of HA raw materials
</t>
    <phoneticPr fontId="1" type="noConversion"/>
  </si>
  <si>
    <r>
      <rPr>
        <sz val="8"/>
        <rFont val="맑은 고딕"/>
        <family val="3"/>
        <charset val="129"/>
      </rPr>
      <t>Fault</t>
    </r>
  </si>
  <si>
    <r>
      <rPr>
        <b/>
        <sz val="8"/>
        <rFont val="맑은 고딕"/>
        <family val="3"/>
        <charset val="129"/>
      </rPr>
      <t>Inherent Safety</t>
    </r>
    <r>
      <rPr>
        <sz val="8"/>
        <rFont val="맑은 고딕"/>
        <family val="3"/>
        <charset val="129"/>
      </rPr>
      <t xml:space="preserve">
</t>
    </r>
    <r>
      <rPr>
        <b/>
        <sz val="8"/>
        <rFont val="맑은 고딕"/>
        <family val="3"/>
        <charset val="129"/>
      </rPr>
      <t>by design</t>
    </r>
  </si>
  <si>
    <r>
      <rPr>
        <b/>
        <sz val="8"/>
        <rFont val="맑은 고딕"/>
        <family val="3"/>
        <charset val="129"/>
      </rPr>
      <t>Protective</t>
    </r>
    <r>
      <rPr>
        <sz val="8"/>
        <rFont val="맑은 고딕"/>
        <family val="3"/>
        <charset val="129"/>
      </rPr>
      <t xml:space="preserve">
</t>
    </r>
    <r>
      <rPr>
        <b/>
        <sz val="8"/>
        <rFont val="맑은 고딕"/>
        <family val="3"/>
        <charset val="129"/>
      </rPr>
      <t>Measures</t>
    </r>
  </si>
  <si>
    <r>
      <rPr>
        <b/>
        <sz val="8"/>
        <rFont val="맑은 고딕"/>
        <family val="3"/>
        <charset val="129"/>
      </rPr>
      <t>Information</t>
    </r>
    <r>
      <rPr>
        <sz val="8"/>
        <rFont val="맑은 고딕"/>
        <family val="3"/>
        <charset val="129"/>
      </rPr>
      <t xml:space="preserve">
</t>
    </r>
    <r>
      <rPr>
        <b/>
        <sz val="8"/>
        <rFont val="맑은 고딕"/>
        <family val="3"/>
        <charset val="129"/>
      </rPr>
      <t>for Safety</t>
    </r>
  </si>
  <si>
    <t>-Product Specification
-Water for Injection system PQ Report
-Water for Injection Test Report
-Intermediate Test Report(Endotoxin and Sterility test)
'- Finished Product Test Report</t>
    <phoneticPr fontId="1" type="noConversion"/>
  </si>
  <si>
    <t>-Setting the package material(syringe) specification
-Incoming Inspection</t>
    <phoneticPr fontId="1" type="noConversion"/>
  </si>
  <si>
    <t>- Package material(syringe) specification
- Material Test Report(Syringe)</t>
    <phoneticPr fontId="1" type="noConversion"/>
  </si>
  <si>
    <t>- Release of the products with expired date passed.</t>
    <phoneticPr fontId="1" type="noConversion"/>
  </si>
  <si>
    <t>-Setting the product specification
-Outgoing Inspection</t>
    <phoneticPr fontId="1" type="noConversion"/>
  </si>
  <si>
    <t>-Production Specification
-Finished Product Test Report</t>
    <phoneticPr fontId="1" type="noConversion"/>
  </si>
  <si>
    <t>- Verification of  user's checking on expiration date
-Display the expiration date symbol in labels and cartons and specify the expiration date.
•Symbol (Use by date) : YYYY.MM.DD
- Insert the corresponding phrase in Instruction for Use
【How to Use】
1) Before the Use 
• Please check the expiration of syringe on the packaging (carton and labels) and do
not use the product that has expired.
【Shelf Life】 
• 3 years from the manufacturing date</t>
    <phoneticPr fontId="1" type="noConversion"/>
  </si>
  <si>
    <t>-User Interface Validation Report
-Syringe label, blister label, Carton
-Instruction for Use</t>
    <phoneticPr fontId="1" type="noConversion"/>
  </si>
  <si>
    <t>- Indication of expiration date is omitted during manufacturing process</t>
    <phoneticPr fontId="1" type="noConversion"/>
  </si>
  <si>
    <t>- Verification of  user's checking on expiration date
-Display the expiration date symbol in labels and cartons and specify the expiration date.
•Symbol (Use by date) : YYYY.MM.DD
- Insert the corresponding phrase in Instruction for Use
【How to Use】
1) Before the Use 
• Please check the expiration of syringe on the packaging (carton and labels) and do not use the product that has expired.
【Shelf Life】 
• 3 years from the manufacturing date</t>
    <phoneticPr fontId="1" type="noConversion"/>
  </si>
  <si>
    <t>-User Interface Validation Report
-Syringe label, blister label, Carton
-Instruction for Use</t>
    <phoneticPr fontId="1" type="noConversion"/>
  </si>
  <si>
    <t>- Use of products with expiry date passed because the user is not fully aware of the IFU.</t>
    <phoneticPr fontId="1" type="noConversion"/>
  </si>
  <si>
    <t>- Verification of  user's checking on expiration date
-Display the expiration date symbol in labels and cartons and specify the expiration date.
•Symbol (Use by date) : YYYY.MM.DD
- Insert the corresponding phrase in Instruction for Use
【How to Use】
1) Before the Use 
• Please check the expiration date of syringe on the packaging (carton and labels) and do not use the product that has expired.
【Shelf Life】 
• 3 years from the manufacturing date</t>
    <phoneticPr fontId="1" type="noConversion"/>
  </si>
  <si>
    <t>- Product Capacity and Syringe Standard Establishment
- Verify the accuracy of graduation</t>
    <phoneticPr fontId="1" type="noConversion"/>
  </si>
  <si>
    <t>- Design Development File: Product Capacity and Syringe Specification
- The accuracy of graduation Report</t>
    <phoneticPr fontId="1" type="noConversion"/>
  </si>
  <si>
    <t>-Product Capacity and Syringe Standard Establishment
-Verify the accuracy of graduation</t>
    <phoneticPr fontId="1" type="noConversion"/>
  </si>
  <si>
    <t>- Unapproved needles  which couldn't assembled with the syringe has been received.</t>
    <phoneticPr fontId="1" type="noConversion"/>
  </si>
  <si>
    <t xml:space="preserve">- The clogged needle has been received.
</t>
    <phoneticPr fontId="1" type="noConversion"/>
  </si>
  <si>
    <t>- Disassembly of connection or syringe breakage by the injection pressure</t>
    <phoneticPr fontId="1" type="noConversion"/>
  </si>
  <si>
    <t>-User Interface validation Report
-Instruction for Use</t>
    <phoneticPr fontId="1" type="noConversion"/>
  </si>
  <si>
    <t>- The gauge of needles which is greater than 23 gauge(it is means that the inner diameter of needle is smaller than 23G)s been packaged.</t>
    <phoneticPr fontId="1" type="noConversion"/>
  </si>
  <si>
    <t xml:space="preserve">-Setting the product specification
- Outgoing Inspection
</t>
    <phoneticPr fontId="1" type="noConversion"/>
  </si>
  <si>
    <t>-Product Specification
-Manufacturing Record
-Finished Product Test Report (Injection Force, Viscoelasticity)</t>
    <phoneticPr fontId="1" type="noConversion"/>
  </si>
  <si>
    <t>-Verification of user's understanding of instructions for use
- Insert the corresponding phrase in Instruction for Use
【How to Use】 
1) Before the use
• Use a 23G needle packed in the blister. Do not use if the needle is not enclosed in the blister.
【Information of Needle】
• Manufacturer of Needle
• Size</t>
    <phoneticPr fontId="1" type="noConversion"/>
  </si>
  <si>
    <t xml:space="preserve">- Information of a directions for assembly and the information of needle is missing in instruction for use.
</t>
    <phoneticPr fontId="1" type="noConversion"/>
  </si>
  <si>
    <t xml:space="preserve">-Package Material Final (Plan) Review
-Incoming Inspection
</t>
    <phoneticPr fontId="1" type="noConversion"/>
  </si>
  <si>
    <t>- Verification of understanding of user interaction confirmation
-The symbols display in the syringe label, blister label and carton as below;
• Symbol(Consult instructions for use)
- Insert the corresponding phrase in Instruction for Use
【PRECAUTION】
• The healthcare professional should read and understand the ins truction for use (IFU) of the product.
【INTERACTIONS with Other Medicinal Substance or Medical Device】
• Do not concomitantly use disinfectants containing quaternary ammonium salts for skin preparation because hyaluronan can precipitate in their presence.</t>
    <phoneticPr fontId="1" type="noConversion"/>
  </si>
  <si>
    <t>- User Interface Validation Report
-Syringe Label, Blister Label, Carton
-Instruction for use</t>
    <phoneticPr fontId="1" type="noConversion"/>
  </si>
  <si>
    <t>- Verification of understanding of user interaction confirmation
-The symbols display in the syringe label, blister label and carton as below;
• Symbol(Consult instructions for use)
- Insert the corresponding phrase in Instruction for Use
【PRECAUTION】
• The healthcare professional should read and understand the ins truction for use (IFU)
of the product.
【INTERACTIONS with Other Medicinal Substance or Medical Device】
• Do not concomitantly use disinfectants containing quaternary ammonium salts for skin preparation because hyaluronan can precipitate in their presence.</t>
    <phoneticPr fontId="1" type="noConversion"/>
  </si>
  <si>
    <t>- User Interface Validation Report
-Syringe Label, Blister Label, Carton
-Instruction for use</t>
    <phoneticPr fontId="1" type="noConversion"/>
  </si>
  <si>
    <t>- Verification of understanding of user interaction confirmation
-The symbols display in the syringe label, blister label and carton as below;
• Symbol(Consult instructions for use)
- Insert the corresponding phrase in Instruction for Use
【PRECAUTION】
• The healthcare professional should read and understand the ins truction for use (IFU)
of the product.
【INTERACTIONS with Other Medicinal Substance or Medical Device】
• Do not treat with Vitamin C or Vitamin E since hyaluronic acid could be degraded by co-administration with the product.</t>
    <phoneticPr fontId="1" type="noConversion"/>
  </si>
  <si>
    <t>- Verification of understanding of user interaction confirmation
-The symbols display in the syringe label, blister label and carton as below;
• Symbol(Consult instructions for use)
- Insert the corresponding phrase in Instruction for Use
【PRECAUTION】
• The healthcare professional should read and understand the ins truction for use (IFU) of the product.
【INTERACTIONS with Other Medicinal Substance or Medical Device】
• Do not treat with Vitamin C or Vitamin E since hyaluronic acid could be degraded by co-administration with the product..</t>
    <phoneticPr fontId="1" type="noConversion"/>
  </si>
  <si>
    <t xml:space="preserve">- Injection of products with lower clinical effectiveness due to lack of performance by violations of storage conditions </t>
    <phoneticPr fontId="1" type="noConversion"/>
  </si>
  <si>
    <t>- Insert the corresponding phrase in Instruction for Use
【How to Use】 
1) Before the use
• Carefully push the plunger rod until a small droplet is visible at the tip of the needle before product injection to check if the needle is clogged. If the needle is clogged, do not use the product. If a clogged needle is used, an injury may occur on account of damage of the syringe</t>
    <phoneticPr fontId="1" type="noConversion"/>
  </si>
  <si>
    <t>-Instruction for Use</t>
    <phoneticPr fontId="1" type="noConversion"/>
  </si>
  <si>
    <t>- Used needles are not discarded and reused.</t>
    <phoneticPr fontId="1" type="noConversion"/>
  </si>
  <si>
    <t>-Use Interface Validaion Report
-Instruction for use</t>
    <phoneticPr fontId="1" type="noConversion"/>
  </si>
  <si>
    <t xml:space="preserve">- Reusing products used to other patients.
</t>
    <phoneticPr fontId="1" type="noConversion"/>
  </si>
  <si>
    <t>- Needles used in patients have not been discarded, causing healthcare providers to be stabbed.</t>
    <phoneticPr fontId="1" type="noConversion"/>
  </si>
  <si>
    <t>- Doctors or healthcare providers are stabbed by contaminated needle and it leads to cross-infection.</t>
    <phoneticPr fontId="1" type="noConversion"/>
  </si>
  <si>
    <t>- Verification of understanding of user interaction confirmation
-The symbols display in the syringe label, blister label and carton as below;
• Symbol(Consult instructions for use)
- Insert the corresponding phrase in Instruction for Use
【PRECAUTION】
• This product is used for single use. Do not re-use or resteril ize the syringe and needle.
【How to store and control after use】
• This product is a single use sterile medical device, so after use, used syringe, needle and remaining gel should be To prevent the cross-infection, the used syringe, needle and remaining gel are disposed to according to healthcare waste management procedure (i.e., national or local regulations) after use.</t>
    <phoneticPr fontId="1" type="noConversion"/>
  </si>
  <si>
    <t>- The injection site of the patients is contaminated and any appropriate disinfection wasn't made before the administration.</t>
    <phoneticPr fontId="1" type="noConversion"/>
  </si>
  <si>
    <t>-Verification of user's understanding of instructions for use
- Insert the corresponding phrase in Instruction for Use
【How to Use】
• The injection site should be disinfected with alcohol or other appropriate disinfection solution that aren't containing quaternary ammonium salts prior to administration.</t>
    <phoneticPr fontId="1" type="noConversion"/>
  </si>
  <si>
    <t>-Verification of user's understanding of instructions for use
- Insert the corresponding phrase in Instruction for Use
【PRECAUTION】
• Injection technique involves the risk of infection, so aceptic administration technique and standard procedure must be followed to prevent cross infection.
• Orthopedist or related the doctor, should use the new sterilized gloves when handling
this product.</t>
    <phoneticPr fontId="1" type="noConversion"/>
  </si>
  <si>
    <t>-Verification of user's understanding of instructions for use
- The symbols display in the syringe label, blister label and carton as below;
• Symbol(Consult instructions for use)
- Insert the corresponding phrase in Instruction for Use
【How to Use】
1) Before the Use
• Remove synovial fluid or effusion before injecting the product, if needed.
【PRECAUTION】
• The healthcare professional should read and understand the ins truction for use (IFU) of the product.</t>
    <phoneticPr fontId="1" type="noConversion"/>
  </si>
  <si>
    <t>-User Interface Validation Report
 -Syringe label, blister label and carton
-Instruction for use</t>
    <phoneticPr fontId="1" type="noConversion"/>
  </si>
  <si>
    <t>- Verification of user's understanding of instructions for use
- Insert the corresponding phrase in Instruction for Use
【PRECAUTION】
• Injection technique involves the risk of infection, so aceptic administration technique and standard procedure must be followed to prevent cross infection.
• The injection should be performed in medical procedure rooms or in rooms with high level of conditions)</t>
    <phoneticPr fontId="1" type="noConversion"/>
  </si>
  <si>
    <t>Warning
Do not use for other intended use.</t>
    <phoneticPr fontId="1" type="noConversion"/>
  </si>
  <si>
    <t>- Verification of understanding of user interaction confirmation
-Insert a schematic of the application site in the carton
-Insert indications in carton and blister label.
【Indication】 
• Osteoarthritis (OA) of the knee joint
- Insert the corresponding phrase in Instruction for Use
【Indication】 
• Osteoarthritis (OA) of the knee joint
【Intended Use】 
• The product is used as a pain reducer of osteoarthritis of the knee. 
【How to Use】
3) Administration
• The product is injected into the knee joint and is Injected as a single intra-articular injection.
【Warning】
• Do not use for other intended uses.</t>
    <phoneticPr fontId="1" type="noConversion"/>
  </si>
  <si>
    <t xml:space="preserve">- User Interface Validation Report
-Carton
-Blister Label, Carton
-Instruction for Use
</t>
    <phoneticPr fontId="1" type="noConversion"/>
  </si>
  <si>
    <t>Injected to synovial tissue due to the lack of information of intended use.</t>
    <phoneticPr fontId="1" type="noConversion"/>
  </si>
  <si>
    <t>Injected to joint muscles due to the lack of information of intended use.</t>
    <phoneticPr fontId="1" type="noConversion"/>
  </si>
  <si>
    <t xml:space="preserve">[Information hazzards]
&lt;Warnings&gt;
</t>
    <phoneticPr fontId="1" type="noConversion"/>
  </si>
  <si>
    <r>
      <rPr>
        <b/>
        <sz val="8"/>
        <rFont val="맑은 고딕"/>
        <family val="3"/>
        <charset val="129"/>
      </rPr>
      <t>Intended Use</t>
    </r>
    <r>
      <rPr>
        <sz val="8"/>
        <rFont val="맑은 고딕"/>
        <family val="3"/>
        <charset val="129"/>
      </rPr>
      <t xml:space="preserve"> 
The product is used as a pain reducer of osteoarthritis of the knee.</t>
    </r>
    <phoneticPr fontId="1" type="noConversion"/>
  </si>
  <si>
    <r>
      <t>-Verification of user's understanding of instructions for use
-The symbols display in the syringe label, blister label and carton as below;
• Symbol(Consult instructions for use)
- Insert the corresponding phrase in Instruction for Use
【Contraindication】
•</t>
    </r>
    <r>
      <rPr>
        <u/>
        <sz val="8"/>
        <rFont val="맑은 고딕"/>
        <family val="3"/>
        <charset val="129"/>
      </rPr>
      <t xml:space="preserve"> Do not use for pregnant women</t>
    </r>
    <r>
      <rPr>
        <sz val="8"/>
        <rFont val="맑은 고딕"/>
        <family val="3"/>
        <charset val="129"/>
      </rPr>
      <t>, nursing mother and person under 18years of age.
【PRECAUTION】
• The healthcare professional should read and understand the ins truction for use (IFU)
of the product.</t>
    </r>
    <phoneticPr fontId="1" type="noConversion"/>
  </si>
  <si>
    <r>
      <t xml:space="preserve">-Verification of user's understanding of instructions for use
-The symbols display in the syringe label, blister label and carton as below;
• Symbol(Consult instructions for use)
- Insert the corresponding phrase in Instruction for Use
【Contraindication】
• </t>
    </r>
    <r>
      <rPr>
        <u/>
        <sz val="8"/>
        <rFont val="맑은 고딕"/>
        <family val="3"/>
        <charset val="129"/>
      </rPr>
      <t>Do not use for</t>
    </r>
    <r>
      <rPr>
        <sz val="8"/>
        <rFont val="맑은 고딕"/>
        <family val="3"/>
        <charset val="129"/>
      </rPr>
      <t xml:space="preserve"> pregnant women, </t>
    </r>
    <r>
      <rPr>
        <u/>
        <sz val="8"/>
        <rFont val="맑은 고딕"/>
        <family val="3"/>
        <charset val="129"/>
      </rPr>
      <t xml:space="preserve">nursing mother </t>
    </r>
    <r>
      <rPr>
        <sz val="8"/>
        <rFont val="맑은 고딕"/>
        <family val="3"/>
        <charset val="129"/>
      </rPr>
      <t>and person under 18years of age.
【PRECAUTION】
• The healthcare professional should read and understand the ins truction for use (IFU)
of the product.</t>
    </r>
    <phoneticPr fontId="1" type="noConversion"/>
  </si>
  <si>
    <r>
      <rPr>
        <b/>
        <sz val="8"/>
        <rFont val="맑은 고딕"/>
        <family val="3"/>
        <charset val="129"/>
      </rPr>
      <t xml:space="preserve">[Operational hazards]
&lt;Use error&gt;
</t>
    </r>
    <r>
      <rPr>
        <sz val="8"/>
        <rFont val="맑은 고딕"/>
        <family val="3"/>
        <charset val="129"/>
      </rPr>
      <t>Rule-based failure</t>
    </r>
    <r>
      <rPr>
        <b/>
        <sz val="8"/>
        <rFont val="맑은 고딕"/>
        <family val="3"/>
        <charset val="129"/>
      </rPr>
      <t xml:space="preserve">
</t>
    </r>
    <r>
      <rPr>
        <sz val="8"/>
        <rFont val="맑은 고딕"/>
        <family val="3"/>
        <charset val="129"/>
      </rPr>
      <t xml:space="preserve">
</t>
    </r>
    <phoneticPr fontId="1" type="noConversion"/>
  </si>
  <si>
    <r>
      <t xml:space="preserve">[Operational hazards]
&lt;Use error&gt;
</t>
    </r>
    <r>
      <rPr>
        <sz val="8"/>
        <rFont val="맑은 고딕"/>
        <family val="3"/>
        <charset val="129"/>
      </rPr>
      <t>Rule-based failure</t>
    </r>
    <r>
      <rPr>
        <b/>
        <sz val="8"/>
        <rFont val="맑은 고딕"/>
        <family val="3"/>
        <charset val="129"/>
      </rPr>
      <t xml:space="preserve">
</t>
    </r>
    <phoneticPr fontId="1" type="noConversion"/>
  </si>
  <si>
    <r>
      <rPr>
        <b/>
        <sz val="8"/>
        <rFont val="맑은 고딕"/>
        <family val="3"/>
        <charset val="129"/>
      </rPr>
      <t xml:space="preserve">[Information hazzards]
&lt;Warnings&gt;
</t>
    </r>
    <r>
      <rPr>
        <sz val="8"/>
        <rFont val="맑은 고딕"/>
        <family val="3"/>
        <charset val="129"/>
      </rPr>
      <t>Contraindication</t>
    </r>
    <r>
      <rPr>
        <b/>
        <sz val="8"/>
        <rFont val="맑은 고딕"/>
        <family val="3"/>
        <charset val="129"/>
      </rPr>
      <t xml:space="preserve">
</t>
    </r>
    <phoneticPr fontId="1" type="noConversion"/>
  </si>
  <si>
    <r>
      <t>- Verification of understanding of user interaction confirmation
- Insert the corresponding phrase in Instruction for Use
【Contraindication】
•</t>
    </r>
    <r>
      <rPr>
        <u/>
        <sz val="8"/>
        <rFont val="맑은 고딕"/>
        <family val="3"/>
        <charset val="129"/>
      </rPr>
      <t xml:space="preserve"> Do not use for pregnant women, nursing mother</t>
    </r>
    <r>
      <rPr>
        <sz val="8"/>
        <rFont val="맑은 고딕"/>
        <family val="3"/>
        <charset val="129"/>
      </rPr>
      <t xml:space="preserve"> and person under 18years of age</t>
    </r>
    <phoneticPr fontId="1" type="noConversion"/>
  </si>
  <si>
    <r>
      <t xml:space="preserve">- Verification of understanding of user interaction confirmation
- Insert the corresponding phrase in Instruction for Use
【Contraindication】
• </t>
    </r>
    <r>
      <rPr>
        <u/>
        <sz val="8"/>
        <rFont val="맑은 고딕"/>
        <family val="3"/>
        <charset val="129"/>
      </rPr>
      <t xml:space="preserve">Do not use for </t>
    </r>
    <r>
      <rPr>
        <sz val="8"/>
        <rFont val="맑은 고딕"/>
        <family val="3"/>
        <charset val="129"/>
      </rPr>
      <t xml:space="preserve">pregnant women, nursing mother and </t>
    </r>
    <r>
      <rPr>
        <u/>
        <sz val="8"/>
        <rFont val="맑은 고딕"/>
        <family val="3"/>
        <charset val="129"/>
      </rPr>
      <t>person under 18years of age</t>
    </r>
    <phoneticPr fontId="1" type="noConversion"/>
  </si>
  <si>
    <r>
      <t xml:space="preserve">- Verification of understanding of user interaction confirmation
- Insert the corresponding phrase in Instruction for Use
【Contraindication】
• Patients with </t>
    </r>
    <r>
      <rPr>
        <u/>
        <sz val="8"/>
        <rFont val="맑은 고딕"/>
        <family val="3"/>
        <charset val="129"/>
      </rPr>
      <t>rheumatoid arthritis</t>
    </r>
    <phoneticPr fontId="1" type="noConversion"/>
  </si>
  <si>
    <r>
      <rPr>
        <b/>
        <sz val="8"/>
        <rFont val="맑은 고딕"/>
        <family val="3"/>
        <charset val="129"/>
      </rPr>
      <t>[Information hazards]
&lt;Operating instructions&gt;</t>
    </r>
    <r>
      <rPr>
        <sz val="8"/>
        <rFont val="맑은 고딕"/>
        <family val="3"/>
        <charset val="129"/>
      </rPr>
      <t xml:space="preserve">
Inadequate specification of pre-use checks
</t>
    </r>
    <phoneticPr fontId="1" type="noConversion"/>
  </si>
  <si>
    <r>
      <rPr>
        <b/>
        <sz val="8"/>
        <rFont val="맑은 고딕"/>
        <family val="3"/>
        <charset val="129"/>
      </rPr>
      <t xml:space="preserve">[Performance-related hazards]
&lt;Functionality&gt;
</t>
    </r>
    <r>
      <rPr>
        <sz val="8"/>
        <rFont val="맑은 고딕"/>
        <family val="3"/>
        <charset val="129"/>
      </rPr>
      <t>Critical performance</t>
    </r>
    <r>
      <rPr>
        <b/>
        <sz val="8"/>
        <rFont val="맑은 고딕"/>
        <family val="3"/>
        <charset val="129"/>
      </rPr>
      <t xml:space="preserve">
</t>
    </r>
    <phoneticPr fontId="1" type="noConversion"/>
  </si>
  <si>
    <r>
      <t xml:space="preserve">[Performance-related hazards]
&lt;Functionality&gt;
</t>
    </r>
    <r>
      <rPr>
        <sz val="8"/>
        <rFont val="맑은 고딕"/>
        <family val="3"/>
        <charset val="129"/>
      </rPr>
      <t>Critical performance</t>
    </r>
    <r>
      <rPr>
        <b/>
        <sz val="8"/>
        <rFont val="맑은 고딕"/>
        <family val="3"/>
        <charset val="129"/>
      </rPr>
      <t xml:space="preserve">
</t>
    </r>
    <phoneticPr fontId="1" type="noConversion"/>
  </si>
  <si>
    <r>
      <t>Protective</t>
    </r>
    <r>
      <rPr>
        <sz val="8"/>
        <rFont val="맑은 고딕"/>
        <family val="3"/>
        <charset val="129"/>
      </rPr>
      <t xml:space="preserve">
</t>
    </r>
    <r>
      <rPr>
        <b/>
        <sz val="8"/>
        <rFont val="맑은 고딕"/>
        <family val="3"/>
        <charset val="129"/>
      </rPr>
      <t>Measures</t>
    </r>
    <phoneticPr fontId="1" type="noConversion"/>
  </si>
  <si>
    <r>
      <t xml:space="preserve">
[Performance-related hazards]
&lt;Functionality&gt;
</t>
    </r>
    <r>
      <rPr>
        <sz val="8"/>
        <rFont val="맑은 고딕"/>
        <family val="3"/>
        <charset val="129"/>
      </rPr>
      <t>Critical performance</t>
    </r>
    <phoneticPr fontId="4" type="noConversion"/>
  </si>
  <si>
    <r>
      <t xml:space="preserve">[Operational hazards]
&lt;Operation&gt;
</t>
    </r>
    <r>
      <rPr>
        <sz val="8"/>
        <rFont val="맑은 고딕"/>
        <family val="3"/>
        <charset val="129"/>
      </rPr>
      <t>Injection</t>
    </r>
    <r>
      <rPr>
        <b/>
        <sz val="8"/>
        <rFont val="맑은 고딕"/>
        <family val="3"/>
        <charset val="129"/>
      </rPr>
      <t xml:space="preserve">
</t>
    </r>
    <phoneticPr fontId="1" type="noConversion"/>
  </si>
  <si>
    <r>
      <t xml:space="preserve">- Insert the corresponding phrase in Instruction for Use
【ADVERSE EVENT】
Along with its needed effects, this product may cause some unwanted effects. Although
not all of these adverse events may occur, if they do occur they may need medical
attention.
Check with your doctor or nurse immediately if any of the following adverse events occur:
</t>
    </r>
    <r>
      <rPr>
        <u/>
        <sz val="8"/>
        <rFont val="맑은 고딕"/>
        <family val="3"/>
        <charset val="129"/>
      </rPr>
      <t>* More common adverse events</t>
    </r>
    <r>
      <rPr>
        <sz val="8"/>
        <rFont val="맑은 고딕"/>
        <family val="3"/>
        <charset val="129"/>
      </rPr>
      <t xml:space="preserve">
Pain, Erythema, Redness, Swelling, Warmth, Hypersensitivity one of the components,
Fever, Inflammation.</t>
    </r>
    <phoneticPr fontId="1" type="noConversion"/>
  </si>
  <si>
    <r>
      <rPr>
        <b/>
        <sz val="8"/>
        <rFont val="맑은 고딕"/>
        <family val="3"/>
        <charset val="129"/>
      </rPr>
      <t xml:space="preserve">[Performance-related hazards]
&lt;Functionality&gt;
</t>
    </r>
    <r>
      <rPr>
        <sz val="8"/>
        <rFont val="맑은 고딕"/>
        <family val="3"/>
        <charset val="129"/>
      </rPr>
      <t>measurement</t>
    </r>
    <r>
      <rPr>
        <b/>
        <sz val="8"/>
        <rFont val="맑은 고딕"/>
        <family val="3"/>
        <charset val="129"/>
      </rPr>
      <t xml:space="preserve">
</t>
    </r>
    <phoneticPr fontId="1" type="noConversion"/>
  </si>
  <si>
    <r>
      <t>-</t>
    </r>
    <r>
      <rPr>
        <sz val="8"/>
        <rFont val="맑은 고딕"/>
        <family val="3"/>
        <charset val="129"/>
      </rPr>
      <t xml:space="preserve">The filling amount is overfilled due to non-compliance with the standards for the conditions in the filling process
</t>
    </r>
    <phoneticPr fontId="1" type="noConversion"/>
  </si>
  <si>
    <r>
      <t xml:space="preserve">[Operational hazards]
&lt;Use error&gt;
</t>
    </r>
    <r>
      <rPr>
        <sz val="8"/>
        <rFont val="맑은 고딕"/>
        <family val="3"/>
        <charset val="129"/>
      </rPr>
      <t>Rule-based failure</t>
    </r>
    <r>
      <rPr>
        <b/>
        <sz val="8"/>
        <rFont val="맑은 고딕"/>
        <family val="3"/>
        <charset val="129"/>
      </rPr>
      <t xml:space="preserve">
</t>
    </r>
    <phoneticPr fontId="1" type="noConversion"/>
  </si>
  <si>
    <r>
      <t xml:space="preserve">[Information hazards]
&lt;Labelling&gt;
</t>
    </r>
    <r>
      <rPr>
        <sz val="8"/>
        <rFont val="맑은 고딕"/>
        <family val="3"/>
        <charset val="129"/>
      </rPr>
      <t>Incomplete instructions for use</t>
    </r>
    <r>
      <rPr>
        <b/>
        <sz val="8"/>
        <rFont val="맑은 고딕"/>
        <family val="3"/>
        <charset val="129"/>
      </rPr>
      <t xml:space="preserve">
</t>
    </r>
    <phoneticPr fontId="1" type="noConversion"/>
  </si>
  <si>
    <r>
      <t xml:space="preserve">- The maximum recommended dose is omitted in the instructions for use.
</t>
    </r>
    <r>
      <rPr>
        <sz val="8"/>
        <color rgb="FF000000"/>
        <rFont val="맑은 고딕"/>
        <family val="3"/>
      </rPr>
      <t/>
    </r>
    <phoneticPr fontId="1" type="noConversion"/>
  </si>
  <si>
    <r>
      <rPr>
        <b/>
        <sz val="8"/>
        <rFont val="맑은 고딕"/>
        <family val="3"/>
        <charset val="129"/>
      </rPr>
      <t xml:space="preserve">[Biological and chemical hazards]
&lt;Immunological agents &gt;
</t>
    </r>
    <r>
      <rPr>
        <sz val="8"/>
        <rFont val="맑은 고딕"/>
        <family val="3"/>
        <charset val="129"/>
      </rPr>
      <t>Allergenic</t>
    </r>
    <phoneticPr fontId="1" type="noConversion"/>
  </si>
  <si>
    <r>
      <t xml:space="preserve">[Biological and chemical hazards]
&lt;Biological agents&gt;
</t>
    </r>
    <r>
      <rPr>
        <sz val="8"/>
        <rFont val="맑은 고딕"/>
        <family val="3"/>
        <charset val="129"/>
      </rPr>
      <t>Biological toxicity</t>
    </r>
    <r>
      <rPr>
        <b/>
        <sz val="8"/>
        <rFont val="맑은 고딕"/>
        <family val="3"/>
        <charset val="129"/>
      </rPr>
      <t xml:space="preserve">
</t>
    </r>
    <phoneticPr fontId="4" type="noConversion"/>
  </si>
  <si>
    <r>
      <t>Information</t>
    </r>
    <r>
      <rPr>
        <sz val="8"/>
        <rFont val="맑은 고딕"/>
        <family val="3"/>
        <charset val="129"/>
      </rPr>
      <t xml:space="preserve">
</t>
    </r>
    <r>
      <rPr>
        <b/>
        <sz val="8"/>
        <rFont val="맑은 고딕"/>
        <family val="3"/>
        <charset val="129"/>
      </rPr>
      <t>for Safety</t>
    </r>
    <phoneticPr fontId="1" type="noConversion"/>
  </si>
  <si>
    <r>
      <t>Inherent Safety</t>
    </r>
    <r>
      <rPr>
        <sz val="8"/>
        <rFont val="맑은 고딕"/>
        <family val="3"/>
        <charset val="129"/>
      </rPr>
      <t xml:space="preserve">
</t>
    </r>
    <r>
      <rPr>
        <b/>
        <sz val="8"/>
        <rFont val="맑은 고딕"/>
        <family val="3"/>
        <charset val="129"/>
      </rPr>
      <t>by design</t>
    </r>
    <phoneticPr fontId="1" type="noConversion"/>
  </si>
  <si>
    <r>
      <rPr>
        <b/>
        <sz val="8"/>
        <rFont val="맑은 고딕"/>
        <family val="3"/>
        <charset val="129"/>
      </rPr>
      <t>[Biological and chemical hazards]
&lt;Immunological agents&gt;</t>
    </r>
    <r>
      <rPr>
        <sz val="8"/>
        <rFont val="맑은 고딕"/>
        <family val="3"/>
        <charset val="129"/>
      </rPr>
      <t xml:space="preserve">
Irritants</t>
    </r>
    <phoneticPr fontId="1" type="noConversion"/>
  </si>
  <si>
    <r>
      <t xml:space="preserve">[Biological and chemical hazards]
&lt;Biological agents&gt;
</t>
    </r>
    <r>
      <rPr>
        <sz val="8"/>
        <rFont val="맑은 고딕"/>
        <family val="3"/>
        <charset val="129"/>
      </rPr>
      <t>Biological toxicity</t>
    </r>
    <r>
      <rPr>
        <b/>
        <sz val="8"/>
        <rFont val="맑은 고딕"/>
        <family val="3"/>
        <charset val="129"/>
      </rPr>
      <t xml:space="preserve">
</t>
    </r>
    <phoneticPr fontId="1" type="noConversion"/>
  </si>
  <si>
    <r>
      <rPr>
        <b/>
        <sz val="8"/>
        <rFont val="맑은 고딕"/>
        <family val="3"/>
        <charset val="129"/>
      </rPr>
      <t xml:space="preserve">[Biological and chemical hazards]
&lt;Chemical agents&gt;
</t>
    </r>
    <r>
      <rPr>
        <sz val="8"/>
        <rFont val="맑은 고딕"/>
        <family val="3"/>
        <charset val="129"/>
      </rPr>
      <t xml:space="preserve">pH
</t>
    </r>
    <phoneticPr fontId="1" type="noConversion"/>
  </si>
  <si>
    <r>
      <t xml:space="preserve">[Biological and chemical hazards]
&lt;chemical agents &gt;
</t>
    </r>
    <r>
      <rPr>
        <sz val="8"/>
        <rFont val="맑은 고딕"/>
        <family val="3"/>
        <charset val="129"/>
      </rPr>
      <t>Pyrogenic</t>
    </r>
    <phoneticPr fontId="4" type="noConversion"/>
  </si>
  <si>
    <r>
      <t xml:space="preserve">[Operational hazards]
&lt;Use error&gt;
</t>
    </r>
    <r>
      <rPr>
        <sz val="8"/>
        <rFont val="맑은 고딕"/>
        <family val="3"/>
        <charset val="129"/>
      </rPr>
      <t>Rule-based failure</t>
    </r>
    <phoneticPr fontId="1" type="noConversion"/>
  </si>
  <si>
    <r>
      <t xml:space="preserve">[Biological and chemical hazards]
&lt;chemical agents &gt;
</t>
    </r>
    <r>
      <rPr>
        <sz val="8"/>
        <rFont val="맑은 고딕"/>
        <family val="3"/>
        <charset val="129"/>
      </rPr>
      <t xml:space="preserve">Pyrogenic
</t>
    </r>
    <phoneticPr fontId="4" type="noConversion"/>
  </si>
  <si>
    <r>
      <t>[Biological and chemical hazards]
&lt;Biological agents&gt;</t>
    </r>
    <r>
      <rPr>
        <sz val="8"/>
        <rFont val="맑은 고딕"/>
        <family val="3"/>
        <charset val="129"/>
      </rPr>
      <t xml:space="preserve">
Bacteria
</t>
    </r>
    <phoneticPr fontId="1" type="noConversion"/>
  </si>
  <si>
    <r>
      <rPr>
        <b/>
        <sz val="8"/>
        <rFont val="맑은 고딕"/>
        <family val="3"/>
        <charset val="129"/>
      </rPr>
      <t xml:space="preserve">
[Biological and chemical hazards]
&lt;Biological agents&gt;</t>
    </r>
    <r>
      <rPr>
        <sz val="8"/>
        <rFont val="맑은 고딕"/>
        <family val="3"/>
        <charset val="129"/>
      </rPr>
      <t xml:space="preserve">
Bacteria</t>
    </r>
    <phoneticPr fontId="1" type="noConversion"/>
  </si>
  <si>
    <r>
      <t>&lt;'</t>
    </r>
    <r>
      <rPr>
        <sz val="8"/>
        <rFont val="맑은 고딕"/>
        <family val="3"/>
        <charset val="129"/>
      </rPr>
      <t>Flaw on filtering&gt;
Poor filtration due to defective filters in the PBS buffer manufacturing process</t>
    </r>
    <phoneticPr fontId="1" type="noConversion"/>
  </si>
  <si>
    <r>
      <t xml:space="preserve">- On syringe label, Blister label and carton, display the symbols as below.
(• Sterile Fluid path(Sterilized using steam)
(• Sterilized using exhylene oxide)
- Insert the corresponding phrase in Instruction for Use
【Precaution】
• STERILE CONTENTS GEL AND NEEDLE. EXTERIOR OF SYRINGE AND NEEDLE CASE / HUB CAP ARE NOT STERILE. Therefore do not use if the packaging(syringe, needle) is opened or damaged.
• </t>
    </r>
    <r>
      <rPr>
        <u/>
        <sz val="8"/>
        <rFont val="맑은 고딕"/>
        <family val="3"/>
        <charset val="129"/>
      </rPr>
      <t>This product is used for single use</t>
    </r>
    <r>
      <rPr>
        <sz val="8"/>
        <rFont val="맑은 고딕"/>
        <family val="3"/>
        <charset val="129"/>
      </rPr>
      <t>. Do not re-use or resterilize the syringe and needle.
【How supplied】
• The gel of the syringe and needle have been sterilized; the exterior surfaces of the syringe and needle case/hub cap are non-sterile. The needle (23G) is provided in the product package.</t>
    </r>
    <phoneticPr fontId="1" type="noConversion"/>
  </si>
  <si>
    <r>
      <t xml:space="preserve">- On syringe label, Blister label and carton, display the symbols as below.
(• Symbol(Do not resterilize)
- Insert the corresponding phrase in Instruction for Use
【Precaution】
• This product is used for single use. </t>
    </r>
    <r>
      <rPr>
        <u/>
        <sz val="8"/>
        <rFont val="맑은 고딕"/>
        <family val="3"/>
        <charset val="129"/>
      </rPr>
      <t>Do not</t>
    </r>
    <r>
      <rPr>
        <sz val="8"/>
        <rFont val="맑은 고딕"/>
        <family val="3"/>
        <charset val="129"/>
      </rPr>
      <t xml:space="preserve"> re-use or</t>
    </r>
    <r>
      <rPr>
        <u/>
        <sz val="8"/>
        <rFont val="맑은 고딕"/>
        <family val="3"/>
        <charset val="129"/>
      </rPr>
      <t xml:space="preserve"> resterilize the syringe and needle.</t>
    </r>
    <r>
      <rPr>
        <sz val="8"/>
        <rFont val="맑은 고딕"/>
        <family val="3"/>
        <charset val="129"/>
      </rPr>
      <t xml:space="preserve">
</t>
    </r>
    <phoneticPr fontId="1" type="noConversion"/>
  </si>
  <si>
    <r>
      <t xml:space="preserve">[Operational hazards]
&lt;Function&gt;
</t>
    </r>
    <r>
      <rPr>
        <sz val="8"/>
        <rFont val="맑은 고딕"/>
        <family val="3"/>
        <charset val="129"/>
      </rPr>
      <t>Inadequate specification of accessories to be used with the medical device</t>
    </r>
    <r>
      <rPr>
        <b/>
        <sz val="8"/>
        <rFont val="맑은 고딕"/>
        <family val="3"/>
        <charset val="129"/>
      </rPr>
      <t xml:space="preserve">
</t>
    </r>
    <phoneticPr fontId="1" type="noConversion"/>
  </si>
  <si>
    <r>
      <t>[Operational hazards]
&lt;Use error&gt;</t>
    </r>
    <r>
      <rPr>
        <sz val="8"/>
        <rFont val="맑은 고딕"/>
        <family val="3"/>
        <charset val="129"/>
      </rPr>
      <t xml:space="preserve">
Rule-based failure</t>
    </r>
    <phoneticPr fontId="1" type="noConversion"/>
  </si>
  <si>
    <r>
      <rPr>
        <b/>
        <sz val="8"/>
        <rFont val="맑은 고딕"/>
        <family val="3"/>
        <charset val="129"/>
      </rPr>
      <t xml:space="preserve">[Information hazzards]
&lt;Warnings&gt;
</t>
    </r>
    <r>
      <rPr>
        <sz val="8"/>
        <rFont val="맑은 고딕"/>
        <family val="3"/>
        <charset val="129"/>
      </rPr>
      <t>Interactions</t>
    </r>
    <r>
      <rPr>
        <b/>
        <sz val="8"/>
        <rFont val="맑은 고딕"/>
        <family val="3"/>
        <charset val="129"/>
      </rPr>
      <t xml:space="preserve">
</t>
    </r>
    <phoneticPr fontId="1" type="noConversion"/>
  </si>
  <si>
    <r>
      <t>- Manufacturing products with higher particle size and viscoelasticity than the design value due to poor mesh screens and poor crosslinking degree of intermediate(HA-DVS gel) in the</t>
    </r>
    <r>
      <rPr>
        <b/>
        <sz val="8"/>
        <rFont val="맑은 고딕"/>
        <family val="3"/>
        <charset val="129"/>
      </rPr>
      <t xml:space="preserve"> </t>
    </r>
    <r>
      <rPr>
        <sz val="8"/>
        <rFont val="맑은 고딕"/>
        <family val="3"/>
        <charset val="129"/>
      </rPr>
      <t>grinding</t>
    </r>
    <r>
      <rPr>
        <b/>
        <sz val="8"/>
        <rFont val="맑은 고딕"/>
        <family val="3"/>
        <charset val="129"/>
      </rPr>
      <t xml:space="preserve"> </t>
    </r>
    <r>
      <rPr>
        <sz val="8"/>
        <rFont val="맑은 고딕"/>
        <family val="3"/>
        <charset val="129"/>
      </rPr>
      <t>process (poor grinding)</t>
    </r>
    <phoneticPr fontId="1" type="noConversion"/>
  </si>
  <si>
    <r>
      <t>-Needle Standard Set
-Incoming Inspection
-Verification on granularity and viscoelasticity of</t>
    </r>
    <r>
      <rPr>
        <u/>
        <sz val="8"/>
        <rFont val="맑은 고딕"/>
        <family val="3"/>
        <charset val="129"/>
      </rPr>
      <t xml:space="preserve"> grinded </t>
    </r>
    <r>
      <rPr>
        <sz val="8"/>
        <rFont val="맑은 고딕"/>
        <family val="3"/>
        <charset val="129"/>
      </rPr>
      <t>substance through process validation
- Outgoing Inspection</t>
    </r>
    <phoneticPr fontId="1" type="noConversion"/>
  </si>
  <si>
    <r>
      <rPr>
        <b/>
        <sz val="8"/>
        <rFont val="맑은 고딕"/>
        <family val="3"/>
        <charset val="129"/>
      </rPr>
      <t>[Biological and chemical hazards]
&lt;Biological agents&gt;</t>
    </r>
    <r>
      <rPr>
        <sz val="8"/>
        <rFont val="맑은 고딕"/>
        <family val="3"/>
        <charset val="129"/>
      </rPr>
      <t xml:space="preserve">
Re- or cross-infection
</t>
    </r>
    <phoneticPr fontId="1" type="noConversion"/>
  </si>
  <si>
    <r>
      <t xml:space="preserve">-Verification of user's understanding of instructions for use
- Insert the corresponding phrase in Instruction for Use
</t>
    </r>
    <r>
      <rPr>
        <b/>
        <sz val="8"/>
        <rFont val="맑은 고딕"/>
        <family val="3"/>
        <charset val="129"/>
      </rPr>
      <t>【How to store and control after use】</t>
    </r>
    <r>
      <rPr>
        <sz val="8"/>
        <rFont val="맑은 고딕"/>
        <family val="3"/>
        <charset val="129"/>
      </rPr>
      <t xml:space="preserve">
To prevent the cross-infection, the used syringe, needle and remaining gel are disposed to according to healthcare waste management procedure (i.e., national or local regulations) after use.
【PRECAUTION】
• This product is used for single use. Do not re-use or resterilize the syringe and needle.</t>
    </r>
    <phoneticPr fontId="1" type="noConversion"/>
  </si>
  <si>
    <r>
      <t>-Verification of user's understanding of instructions for use
-Display the symbol on the label, carton.
• Symbol (Single use, Do not reuse.)
- Insert the corresponding phrase in Instruction for Use
【 How to store and control after use】
To prevent the cross-infection, the used syringe, needle and remaining gel are disposed to according to healthcare waste management procedure (i.e., national or local regulations) after use.
【Precaution】
•</t>
    </r>
    <r>
      <rPr>
        <u/>
        <sz val="8"/>
        <rFont val="맑은 고딕"/>
        <family val="3"/>
        <charset val="129"/>
      </rPr>
      <t xml:space="preserve"> This product is used for single use. Do not re-use</t>
    </r>
    <r>
      <rPr>
        <sz val="8"/>
        <rFont val="맑은 고딕"/>
        <family val="3"/>
        <charset val="129"/>
      </rPr>
      <t xml:space="preserve"> or resterilize the syringe and needle.
• The healthcare professional should read and understand the ins truction for use (IFU) of the product.</t>
    </r>
    <phoneticPr fontId="1" type="noConversion"/>
  </si>
  <si>
    <r>
      <t>-Verification of user's understanding of instructions for use
-Display the symbol on the label, carton.
• Symbol (Do not reuse.)
- Insert the corresponding phrase in Instruction for Use
【 How to store and control after use】
To prevent the cross-infection, the used syringe, needle and remaining gel are disposed to according to healthcare waste management procedure (i.e., national or local regulations) after use.
【Precaution】
•</t>
    </r>
    <r>
      <rPr>
        <u/>
        <sz val="8"/>
        <rFont val="맑은 고딕"/>
        <family val="3"/>
        <charset val="129"/>
      </rPr>
      <t xml:space="preserve"> This product is used for single use. Do not re-use</t>
    </r>
    <r>
      <rPr>
        <sz val="8"/>
        <rFont val="맑은 고딕"/>
        <family val="3"/>
        <charset val="129"/>
      </rPr>
      <t xml:space="preserve"> or resterilize the syringe and needle.
• The healthcare professional should read and understand the ins truction for use (IFU) of the product.</t>
    </r>
    <phoneticPr fontId="1" type="noConversion"/>
  </si>
  <si>
    <r>
      <rPr>
        <b/>
        <sz val="8"/>
        <rFont val="맑은 고딕"/>
        <family val="3"/>
        <charset val="129"/>
      </rPr>
      <t>[Information hazards]
&lt;Labelling&gt;</t>
    </r>
    <r>
      <rPr>
        <sz val="8"/>
        <rFont val="맑은 고딕"/>
        <family val="3"/>
        <charset val="129"/>
      </rPr>
      <t xml:space="preserve">
Incomplete instructions for use
</t>
    </r>
    <phoneticPr fontId="1" type="noConversion"/>
  </si>
  <si>
    <r>
      <t>-Verification of user's understanding of instructions for use
- Insert the corresponding phrase in Instruction for Use
【How to Use】
2) Directions for Assembly
• Remove the needle hub cap and the pre-filled syringe nozzle cap by turning. (</t>
    </r>
    <r>
      <rPr>
        <u/>
        <sz val="8"/>
        <rFont val="맑은 고딕"/>
        <family val="3"/>
        <charset val="129"/>
      </rPr>
      <t>Be careful not to touch the needle and syringe inlet to maintain sterility after detachment</t>
    </r>
    <r>
      <rPr>
        <sz val="8"/>
        <rFont val="맑은 고딕"/>
        <family val="3"/>
        <charset val="129"/>
      </rPr>
      <t>).</t>
    </r>
    <phoneticPr fontId="1" type="noConversion"/>
  </si>
  <si>
    <r>
      <t xml:space="preserve">[Information hazzards]
&lt;Warnings&gt;
</t>
    </r>
    <r>
      <rPr>
        <sz val="8"/>
        <rFont val="맑은 고딕"/>
        <family val="3"/>
        <charset val="129"/>
      </rPr>
      <t>Of side effects</t>
    </r>
    <r>
      <rPr>
        <b/>
        <sz val="8"/>
        <rFont val="맑은 고딕"/>
        <family val="3"/>
        <charset val="129"/>
      </rPr>
      <t xml:space="preserve">
</t>
    </r>
    <phoneticPr fontId="1" type="noConversion"/>
  </si>
  <si>
    <r>
      <rPr>
        <b/>
        <sz val="8"/>
        <rFont val="맑은 고딕"/>
        <family val="3"/>
        <charset val="129"/>
      </rPr>
      <t>[Information hazards]
&lt;Labelling&gt;</t>
    </r>
    <r>
      <rPr>
        <sz val="8"/>
        <rFont val="맑은 고딕"/>
        <family val="3"/>
        <charset val="129"/>
      </rPr>
      <t xml:space="preserve">
Inadequate specification of intended use
</t>
    </r>
    <phoneticPr fontId="1" type="noConversion"/>
  </si>
  <si>
    <t>-Verification of user's understanding of instructions for use
- The symbols display in the syringe label, blister label and carton as below;
• Symbol(Consult instructions for use)
- Insert the corresponding phrase in Instruction for Use
【PRECAUTION】
• The healthcare professional should read and understand the ins truction for use (IFU)
of the product.
【Warning】
• Do not use for other Intended use</t>
    <phoneticPr fontId="1" type="noConversion"/>
  </si>
  <si>
    <t>-User Interface validation report
-Syringe label, Blister label, and Carton
-Instruction for use</t>
    <phoneticPr fontId="1" type="noConversion"/>
  </si>
  <si>
    <t>Risk
No.</t>
    <phoneticPr fontId="1" type="noConversion"/>
  </si>
  <si>
    <t>Hazard Identification</t>
    <phoneticPr fontId="1" type="noConversion"/>
  </si>
  <si>
    <t>Foreseeable sequemces or combination of events</t>
    <phoneticPr fontId="1" type="noConversion"/>
  </si>
  <si>
    <t>Hazardous Situation</t>
    <phoneticPr fontId="1" type="noConversion"/>
  </si>
  <si>
    <t>Harm</t>
    <phoneticPr fontId="1" type="noConversion"/>
  </si>
  <si>
    <t>Risk Estimation</t>
    <phoneticPr fontId="1" type="noConversion"/>
  </si>
  <si>
    <t>Residual Risk Evaluation</t>
    <phoneticPr fontId="1" type="noConversion"/>
  </si>
  <si>
    <t>Residual Risk Information
(Contraindication, Warning, Caution, Precaution, etc.)</t>
    <phoneticPr fontId="1" type="noConversion"/>
  </si>
  <si>
    <t>Examples</t>
    <phoneticPr fontId="1" type="noConversion"/>
  </si>
  <si>
    <t>Probability</t>
    <phoneticPr fontId="1" type="noConversion"/>
  </si>
  <si>
    <t>Implementation</t>
    <phoneticPr fontId="1" type="noConversion"/>
  </si>
  <si>
    <t>Verification</t>
    <phoneticPr fontId="1" type="noConversion"/>
  </si>
  <si>
    <t>5. Risk Analysis</t>
    <phoneticPr fontId="1" type="noConversion"/>
  </si>
  <si>
    <t xml:space="preserve"> 5.7 Estimation of the Risk(s) for Each Hazardous Situation</t>
    <phoneticPr fontId="1" type="noConversion"/>
  </si>
  <si>
    <t>6. Risk Evaluation</t>
    <phoneticPr fontId="1" type="noConversion"/>
  </si>
  <si>
    <t>7. Risk Control</t>
    <phoneticPr fontId="1" type="noConversion"/>
  </si>
  <si>
    <t>7.2 Risk Control Option Analysis</t>
    <phoneticPr fontId="1" type="noConversion"/>
  </si>
  <si>
    <t>7.3 Implementation of Risk Control Measures</t>
    <phoneticPr fontId="1" type="noConversion"/>
  </si>
  <si>
    <t>7.4 Residual Risk Evaluation</t>
    <phoneticPr fontId="1" type="noConversion"/>
  </si>
  <si>
    <t>7.5 Benefit/ Risk Analysis</t>
    <phoneticPr fontId="1" type="noConversion"/>
  </si>
  <si>
    <t>7.6 Risks Arising from Risk Control Measures</t>
    <phoneticPr fontId="1" type="noConversion"/>
  </si>
  <si>
    <t>7.7 Completeness of Risk Control</t>
    <phoneticPr fontId="1" type="noConversion"/>
  </si>
  <si>
    <t>Residual Risk Estimation</t>
    <phoneticPr fontId="1" type="noConversion"/>
  </si>
  <si>
    <t>Severity</t>
  </si>
  <si>
    <t>Probability</t>
  </si>
  <si>
    <t>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</si>
</sst>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50">
    <font>
      <sz val="11"/>
      <color theme="1"/>
      <name val="맑은 고딕"/>
      <family val="2"/>
      <charset val="129"/>
      <scheme val="minor"/>
    </font>
    <font>
      <sz val="8"/>
      <name val="맑은 고딕"/>
      <family val="2"/>
      <charset val="129"/>
      <scheme val="minor"/>
    </font>
    <font>
      <sz val="11"/>
      <name val="맑은 고딕"/>
      <family val="3"/>
      <charset val="129"/>
    </font>
    <font>
      <b/>
      <sz val="8"/>
      <name val="맑은 고딕"/>
      <family val="3"/>
      <charset val="129"/>
      <scheme val="minor"/>
    </font>
    <font>
      <sz val="8"/>
      <name val="맑은 고딕"/>
      <family val="3"/>
      <charset val="129"/>
    </font>
    <font>
      <b/>
      <sz val="8"/>
      <name val="맑은 고딕"/>
      <family val="3"/>
      <charset val="129"/>
    </font>
    <font>
      <b/>
      <sz val="10"/>
      <name val="맑은 고딕"/>
      <family val="3"/>
      <charset val="129"/>
      <scheme val="major"/>
    </font>
    <font>
      <sz val="10"/>
      <name val="맑은 고딕"/>
      <family val="3"/>
      <charset val="129"/>
      <scheme val="major"/>
    </font>
    <font>
      <b/>
      <sz val="9"/>
      <color theme="1"/>
      <name val="맑은 고딕"/>
      <family val="3"/>
      <charset val="129"/>
      <scheme val="minor"/>
    </font>
    <font>
      <sz val="9"/>
      <color theme="1"/>
      <name val="맑은 고딕"/>
      <family val="3"/>
      <charset val="129"/>
      <scheme val="minor"/>
    </font>
    <font>
      <strike/>
      <sz val="8"/>
      <name val="맑은 고딕"/>
      <family val="3"/>
      <charset val="129"/>
    </font>
    <font>
      <b/>
      <sz val="8"/>
      <color rgb="FFFD3903"/>
      <name val="맑은 고딕"/>
      <family val="3"/>
      <charset val="129"/>
    </font>
    <font>
      <sz val="10"/>
      <name val="Verdana"/>
      <family val="2"/>
    </font>
    <font>
      <b/>
      <u/>
      <sz val="8"/>
      <name val="맑은 고딕"/>
      <family val="3"/>
      <charset val="129"/>
    </font>
    <font>
      <sz val="8"/>
      <name val="맑은 고딕"/>
      <family val="3"/>
      <charset val="129"/>
      <scheme val="major"/>
    </font>
    <font>
      <b/>
      <sz val="8"/>
      <name val="맑은 고딕"/>
      <family val="3"/>
      <charset val="129"/>
      <scheme val="major"/>
    </font>
    <font>
      <sz val="8"/>
      <color rgb="FF000000"/>
      <name val="맑은 고딕"/>
      <family val="3"/>
    </font>
    <font>
      <sz val="8"/>
      <color rgb="FF0000CC"/>
      <name val="맑은 고딕"/>
      <family val="3"/>
      <charset val="129"/>
    </font>
    <font>
      <b/>
      <sz val="9"/>
      <color rgb="FF0000FF"/>
      <name val="맑은 고딕"/>
      <family val="3"/>
      <charset val="129"/>
      <scheme val="minor"/>
    </font>
    <font>
      <sz val="11"/>
      <color rgb="FF0000FF"/>
      <name val="맑은 고딕"/>
      <family val="3"/>
      <charset val="129"/>
    </font>
    <font>
      <sz val="9"/>
      <color rgb="FF0000FF"/>
      <name val="맑은 고딕"/>
      <family val="3"/>
      <charset val="129"/>
      <scheme val="minor"/>
    </font>
    <font>
      <sz val="8"/>
      <color rgb="FF0000FF"/>
      <name val="맑은 고딕"/>
      <family val="3"/>
      <charset val="129"/>
    </font>
    <font>
      <b/>
      <sz val="8"/>
      <color rgb="FF0000CC"/>
      <name val="맑은 고딕"/>
      <family val="3"/>
      <charset val="129"/>
    </font>
    <font>
      <b/>
      <sz val="8"/>
      <color rgb="FF0000FF"/>
      <name val="맑은 고딕"/>
      <family val="3"/>
      <charset val="129"/>
    </font>
    <font>
      <sz val="8"/>
      <color rgb="FF00B050"/>
      <name val="맑은 고딕"/>
      <family val="3"/>
      <charset val="129"/>
    </font>
    <font>
      <u/>
      <sz val="8"/>
      <name val="맑은 고딕"/>
      <family val="3"/>
      <charset val="129"/>
    </font>
    <font>
      <sz val="8"/>
      <color rgb="FF0000FF"/>
      <name val="맑은 고딕"/>
      <family val="3"/>
    </font>
    <font>
      <sz val="8"/>
      <color rgb="FF0000FF"/>
      <name val="맑은 고딕"/>
      <family val="3"/>
      <charset val="129"/>
      <scheme val="major"/>
    </font>
    <font>
      <b/>
      <u/>
      <sz val="8"/>
      <color rgb="FF0000FF"/>
      <name val="맑은 고딕"/>
      <family val="3"/>
      <charset val="129"/>
    </font>
    <font>
      <sz val="8"/>
      <color rgb="FF0000FF"/>
      <name val="맑은 고딕"/>
      <family val="3"/>
      <charset val="129"/>
      <scheme val="minor"/>
    </font>
    <font>
      <i/>
      <sz val="8"/>
      <color rgb="FF0000FF"/>
      <name val="맑은 고딕"/>
      <family val="3"/>
      <charset val="129"/>
    </font>
    <font>
      <b/>
      <sz val="9"/>
      <name val="맑은 고딕"/>
      <family val="3"/>
      <charset val="129"/>
      <scheme val="minor"/>
    </font>
    <font>
      <sz val="9"/>
      <name val="맑은 고딕"/>
      <family val="3"/>
      <charset val="129"/>
      <scheme val="minor"/>
    </font>
    <font>
      <sz val="8"/>
      <color rgb="FF000000"/>
      <name val="맑은 고딕"/>
      <family val="3"/>
      <charset val="129"/>
      <scheme val="minor"/>
    </font>
    <font>
      <sz val="8"/>
      <color rgb="FF00B050"/>
      <name val="맑은 고딕"/>
      <family val="3"/>
      <charset val="129"/>
      <scheme val="minor"/>
    </font>
    <font>
      <b/>
      <sz val="8"/>
      <color rgb="FF0000FF"/>
      <name val="맑은 고딕"/>
      <family val="3"/>
      <charset val="129"/>
      <scheme val="minor"/>
    </font>
    <font>
      <b/>
      <u/>
      <sz val="8"/>
      <color rgb="FF0000FF"/>
      <name val="맑은 고딕"/>
      <family val="3"/>
      <charset val="129"/>
      <scheme val="minor"/>
    </font>
    <font>
      <sz val="9"/>
      <color indexed="81"/>
      <name val="Tahoma"/>
      <family val="2"/>
    </font>
    <font>
      <b/>
      <sz val="9"/>
      <color indexed="81"/>
      <name val="Tahoma"/>
      <family val="2"/>
    </font>
    <font>
      <sz val="9"/>
      <color indexed="81"/>
      <name val="돋움"/>
      <family val="3"/>
      <charset val="129"/>
    </font>
    <font>
      <b/>
      <sz val="8"/>
      <name val="맑은 고딕"/>
      <family val="3"/>
    </font>
    <font>
      <b/>
      <sz val="10"/>
      <color rgb="FF0000FF"/>
      <name val="맑은 고딕"/>
      <family val="3"/>
      <charset val="129"/>
      <scheme val="minor"/>
    </font>
    <font>
      <b/>
      <sz val="9"/>
      <color indexed="81"/>
      <name val="돋움"/>
      <family val="3"/>
      <charset val="129"/>
    </font>
    <font>
      <sz val="11"/>
      <name val="맑은 고딕"/>
      <family val="3"/>
      <charset val="129"/>
      <scheme val="minor"/>
    </font>
    <font>
      <i/>
      <u/>
      <sz val="10"/>
      <name val="맑은 고딕"/>
      <family val="3"/>
      <charset val="129"/>
    </font>
    <font>
      <sz val="8"/>
      <name val="맑은 고딕"/>
      <family val="3"/>
      <charset val="129"/>
      <scheme val="minor"/>
    </font>
    <font>
      <sz val="8"/>
      <name val="Arial Unicode MS"/>
      <family val="3"/>
      <charset val="129"/>
    </font>
    <font>
      <b/>
      <sz val="8"/>
      <name val="Arial Unicode MS"/>
      <family val="3"/>
      <charset val="129"/>
    </font>
    <font>
      <b/>
      <sz val="8"/>
      <color theme="1"/>
      <name val="Arial Unicode MS"/>
      <family val="3"/>
      <charset val="129"/>
    </font>
    <font>
      <sz val="8"/>
      <color rgb="FF0000FF"/>
      <name val="Arial Unicode MS"/>
      <family val="3"/>
      <charset val="129"/>
    </font>
  </fonts>
  <fills count="9">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00FF"/>
        <bgColor indexed="64"/>
      </patternFill>
    </fill>
    <fill>
      <patternFill patternType="solid">
        <fgColor rgb="FFFFC000"/>
        <bgColor indexed="64"/>
      </patternFill>
    </fill>
    <fill>
      <patternFill patternType="solid">
        <fgColor rgb="FFFFFFFF"/>
        <bgColor indexed="64"/>
      </patternFill>
    </fill>
    <fill>
      <patternFill patternType="solid">
        <fgColor theme="8" tint="0.59999389629810485"/>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hair">
        <color indexed="64"/>
      </bottom>
      <diagonal/>
    </border>
    <border>
      <left/>
      <right style="thin">
        <color auto="1"/>
      </right>
      <top style="thin">
        <color auto="1"/>
      </top>
      <bottom style="hair">
        <color indexed="64"/>
      </bottom>
      <diagonal/>
    </border>
    <border>
      <left/>
      <right/>
      <top style="thin">
        <color auto="1"/>
      </top>
      <bottom style="hair">
        <color indexed="64"/>
      </bottom>
      <diagonal/>
    </border>
    <border>
      <left style="thin">
        <color auto="1"/>
      </left>
      <right/>
      <top style="hair">
        <color indexed="64"/>
      </top>
      <bottom style="thin">
        <color auto="1"/>
      </bottom>
      <diagonal/>
    </border>
    <border>
      <left/>
      <right style="thin">
        <color auto="1"/>
      </right>
      <top style="hair">
        <color indexed="64"/>
      </top>
      <bottom style="thin">
        <color auto="1"/>
      </bottom>
      <diagonal/>
    </border>
    <border>
      <left/>
      <right/>
      <top style="hair">
        <color indexed="64"/>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auto="1"/>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alignment vertical="center"/>
    </xf>
    <xf numFmtId="0" fontId="12" fillId="0" borderId="0"/>
  </cellStyleXfs>
  <cellXfs count="276">
    <xf numFmtId="0" fontId="0" fillId="0" borderId="0" xfId="0">
      <alignment vertical="center"/>
    </xf>
    <xf numFmtId="0" fontId="2" fillId="2" borderId="0" xfId="0" applyFont="1" applyFill="1">
      <alignment vertical="center"/>
    </xf>
    <xf numFmtId="0" fontId="4" fillId="0" borderId="0" xfId="0" applyFont="1">
      <alignment vertical="center"/>
    </xf>
    <xf numFmtId="0" fontId="2" fillId="0" borderId="0" xfId="0" applyFont="1">
      <alignment vertical="center"/>
    </xf>
    <xf numFmtId="0" fontId="8" fillId="0" borderId="8" xfId="0" applyFont="1" applyBorder="1">
      <alignment vertical="center"/>
    </xf>
    <xf numFmtId="0" fontId="8" fillId="0" borderId="5" xfId="0" applyFont="1" applyBorder="1">
      <alignment vertical="center"/>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2" fillId="2" borderId="0" xfId="0" applyFont="1" applyFill="1" applyAlignment="1">
      <alignment horizontal="left" vertical="center"/>
    </xf>
    <xf numFmtId="0" fontId="2" fillId="2" borderId="0" xfId="0" applyFont="1" applyFill="1" applyAlignment="1">
      <alignment vertical="center" wrapText="1"/>
    </xf>
    <xf numFmtId="0" fontId="2" fillId="2" borderId="0" xfId="0" applyFont="1" applyFill="1" applyAlignment="1">
      <alignment vertical="top"/>
    </xf>
    <xf numFmtId="0" fontId="4" fillId="2" borderId="0" xfId="0" applyFont="1" applyFill="1" applyAlignment="1">
      <alignment vertical="center" wrapText="1"/>
    </xf>
    <xf numFmtId="0" fontId="4" fillId="2" borderId="0" xfId="0" applyFont="1" applyFill="1" applyAlignment="1">
      <alignment horizontal="left" vertical="center" wrapText="1"/>
    </xf>
    <xf numFmtId="0" fontId="4" fillId="2" borderId="0" xfId="0" applyFont="1" applyFill="1">
      <alignment vertical="center"/>
    </xf>
    <xf numFmtId="176" fontId="4" fillId="2" borderId="0" xfId="0" applyNumberFormat="1" applyFont="1" applyFill="1">
      <alignment vertical="center"/>
    </xf>
    <xf numFmtId="0" fontId="4" fillId="2" borderId="0" xfId="0" applyFont="1" applyFill="1" applyAlignment="1">
      <alignment horizontal="center" vertical="center"/>
    </xf>
    <xf numFmtId="0" fontId="6" fillId="0" borderId="9" xfId="0" applyFont="1" applyBorder="1" applyAlignment="1">
      <alignment horizontal="center" vertical="center" wrapText="1"/>
    </xf>
    <xf numFmtId="0" fontId="8" fillId="0" borderId="9" xfId="0" applyFont="1" applyBorder="1">
      <alignment vertical="center"/>
    </xf>
    <xf numFmtId="0" fontId="4" fillId="0" borderId="0" xfId="0" applyFont="1" applyAlignment="1">
      <alignment vertical="center" wrapText="1"/>
    </xf>
    <xf numFmtId="0" fontId="4" fillId="2" borderId="9" xfId="0" quotePrefix="1" applyFont="1" applyFill="1" applyBorder="1" applyAlignment="1">
      <alignment vertical="top"/>
    </xf>
    <xf numFmtId="0" fontId="10" fillId="2" borderId="9" xfId="0" quotePrefix="1" applyFont="1" applyFill="1" applyBorder="1" applyAlignment="1">
      <alignment vertical="center" wrapText="1"/>
    </xf>
    <xf numFmtId="0" fontId="4" fillId="0" borderId="10" xfId="0" quotePrefix="1" applyFont="1" applyBorder="1" applyAlignment="1">
      <alignment vertical="center" wrapText="1"/>
    </xf>
    <xf numFmtId="0" fontId="4" fillId="0" borderId="4" xfId="0" quotePrefix="1" applyFont="1" applyBorder="1" applyAlignment="1">
      <alignment vertical="center" wrapText="1"/>
    </xf>
    <xf numFmtId="0" fontId="4" fillId="0" borderId="5" xfId="0" quotePrefix="1" applyFont="1" applyBorder="1" applyAlignment="1">
      <alignment vertical="center" wrapText="1"/>
    </xf>
    <xf numFmtId="0" fontId="31" fillId="2" borderId="8" xfId="0" applyFont="1" applyFill="1" applyBorder="1">
      <alignment vertical="center"/>
    </xf>
    <xf numFmtId="0" fontId="31" fillId="2" borderId="5" xfId="0" applyFont="1" applyFill="1" applyBorder="1">
      <alignment vertical="center"/>
    </xf>
    <xf numFmtId="0" fontId="0" fillId="0" borderId="0" xfId="0" applyAlignment="1">
      <alignment vertical="center" wrapText="1"/>
    </xf>
    <xf numFmtId="0" fontId="33" fillId="0" borderId="17" xfId="0" applyFont="1" applyBorder="1" applyAlignment="1">
      <alignment horizontal="left" vertical="center" wrapText="1"/>
    </xf>
    <xf numFmtId="0" fontId="29" fillId="0" borderId="17" xfId="0" applyFont="1" applyBorder="1" applyAlignment="1">
      <alignment horizontal="left" vertical="center" wrapText="1"/>
    </xf>
    <xf numFmtId="0" fontId="33" fillId="0" borderId="18" xfId="0" applyFont="1" applyBorder="1" applyAlignment="1">
      <alignment horizontal="left" vertical="center" wrapText="1"/>
    </xf>
    <xf numFmtId="0" fontId="33" fillId="7" borderId="18" xfId="0" applyFont="1" applyFill="1" applyBorder="1" applyAlignment="1">
      <alignment horizontal="left" vertical="center" wrapText="1"/>
    </xf>
    <xf numFmtId="0" fontId="29" fillId="7" borderId="17" xfId="0" applyFont="1" applyFill="1" applyBorder="1" applyAlignment="1">
      <alignment horizontal="left" vertical="center" wrapText="1"/>
    </xf>
    <xf numFmtId="0" fontId="29" fillId="0" borderId="18" xfId="0" applyFont="1" applyBorder="1" applyAlignment="1">
      <alignment horizontal="left" vertical="center" wrapText="1"/>
    </xf>
    <xf numFmtId="0" fontId="33" fillId="7" borderId="17" xfId="0" applyFont="1" applyFill="1" applyBorder="1" applyAlignment="1">
      <alignment horizontal="left" vertical="center" wrapText="1"/>
    </xf>
    <xf numFmtId="0" fontId="33" fillId="0" borderId="19" xfId="0" applyFont="1" applyBorder="1" applyAlignment="1">
      <alignment horizontal="left" vertical="center" wrapText="1"/>
    </xf>
    <xf numFmtId="0" fontId="29" fillId="6" borderId="18" xfId="0" applyFont="1" applyFill="1" applyBorder="1" applyAlignment="1">
      <alignment horizontal="left" vertical="center" wrapText="1"/>
    </xf>
    <xf numFmtId="0" fontId="33" fillId="6" borderId="18" xfId="0" applyFont="1" applyFill="1" applyBorder="1" applyAlignment="1">
      <alignment horizontal="left" vertical="center" wrapText="1"/>
    </xf>
    <xf numFmtId="0" fontId="29" fillId="6" borderId="17" xfId="0" applyFont="1" applyFill="1" applyBorder="1" applyAlignment="1">
      <alignment horizontal="left" vertical="center" wrapText="1"/>
    </xf>
    <xf numFmtId="0" fontId="29" fillId="7" borderId="18" xfId="0" applyFont="1" applyFill="1" applyBorder="1" applyAlignment="1">
      <alignment horizontal="left" vertical="center" wrapText="1"/>
    </xf>
    <xf numFmtId="0" fontId="29" fillId="4" borderId="18" xfId="0" applyFont="1" applyFill="1" applyBorder="1" applyAlignment="1">
      <alignment horizontal="left" vertical="center" wrapText="1"/>
    </xf>
    <xf numFmtId="0" fontId="4" fillId="2" borderId="9" xfId="0" quotePrefix="1" applyFont="1" applyFill="1" applyBorder="1" applyAlignment="1">
      <alignment vertical="top" wrapText="1"/>
    </xf>
    <xf numFmtId="0" fontId="4" fillId="2" borderId="9" xfId="0" quotePrefix="1" applyFont="1" applyFill="1" applyBorder="1">
      <alignment vertical="center"/>
    </xf>
    <xf numFmtId="0" fontId="10" fillId="2" borderId="9" xfId="0" quotePrefix="1" applyFont="1" applyFill="1" applyBorder="1" applyAlignment="1">
      <alignment vertical="top" wrapText="1"/>
    </xf>
    <xf numFmtId="0" fontId="4" fillId="2" borderId="9" xfId="0" applyFont="1" applyFill="1" applyBorder="1" applyAlignment="1">
      <alignment vertical="top" wrapText="1"/>
    </xf>
    <xf numFmtId="0" fontId="10" fillId="2" borderId="9" xfId="0" quotePrefix="1" applyFont="1" applyFill="1" applyBorder="1" applyAlignment="1">
      <alignment horizontal="left" vertical="top" wrapText="1"/>
    </xf>
    <xf numFmtId="0" fontId="15" fillId="2" borderId="9" xfId="0" applyFont="1" applyFill="1" applyBorder="1" applyAlignment="1">
      <alignment horizontal="center" vertical="center" wrapText="1"/>
    </xf>
    <xf numFmtId="0" fontId="14" fillId="2" borderId="9" xfId="0" quotePrefix="1" applyFont="1" applyFill="1" applyBorder="1" applyAlignment="1">
      <alignment vertical="top" wrapText="1"/>
    </xf>
    <xf numFmtId="0" fontId="4" fillId="2" borderId="9" xfId="0" quotePrefix="1" applyFont="1" applyFill="1" applyBorder="1" applyAlignment="1">
      <alignment horizontal="left" vertical="top" wrapText="1"/>
    </xf>
    <xf numFmtId="0" fontId="4" fillId="2" borderId="9" xfId="0" quotePrefix="1" applyFont="1" applyFill="1" applyBorder="1" applyAlignment="1">
      <alignment vertical="center" wrapText="1"/>
    </xf>
    <xf numFmtId="0" fontId="18" fillId="2" borderId="8" xfId="0" applyFont="1" applyFill="1" applyBorder="1">
      <alignment vertical="center"/>
    </xf>
    <xf numFmtId="0" fontId="18" fillId="2" borderId="5" xfId="0" applyFont="1" applyFill="1" applyBorder="1">
      <alignment vertical="center"/>
    </xf>
    <xf numFmtId="0" fontId="5" fillId="2" borderId="9" xfId="0"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9" xfId="0" quotePrefix="1" applyFont="1" applyFill="1" applyBorder="1" applyAlignment="1">
      <alignment horizontal="left" vertical="center" wrapText="1"/>
    </xf>
    <xf numFmtId="0" fontId="3" fillId="2" borderId="9"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4" fillId="4" borderId="0" xfId="0" applyFont="1" applyFill="1" applyAlignment="1">
      <alignment horizontal="left" vertical="center"/>
    </xf>
    <xf numFmtId="0" fontId="4" fillId="4" borderId="0" xfId="0" applyFont="1" applyFill="1">
      <alignment vertical="center"/>
    </xf>
    <xf numFmtId="0" fontId="4" fillId="2" borderId="0" xfId="0" applyFont="1" applyFill="1" applyAlignment="1">
      <alignment horizontal="left" vertical="center"/>
    </xf>
    <xf numFmtId="0" fontId="5" fillId="2" borderId="10" xfId="0" applyFont="1" applyFill="1" applyBorder="1" applyAlignment="1">
      <alignment horizontal="center" vertical="center" wrapText="1"/>
    </xf>
    <xf numFmtId="0" fontId="43" fillId="2" borderId="0" xfId="0" applyFont="1" applyFill="1">
      <alignment vertical="center"/>
    </xf>
    <xf numFmtId="0" fontId="43" fillId="2" borderId="0" xfId="0" applyFont="1" applyFill="1" applyAlignment="1"/>
    <xf numFmtId="0" fontId="46" fillId="0" borderId="0" xfId="0" applyFont="1">
      <alignment vertical="center"/>
    </xf>
    <xf numFmtId="0" fontId="46" fillId="0" borderId="0" xfId="0" applyFont="1" applyAlignment="1">
      <alignment horizontal="left" vertical="center"/>
    </xf>
    <xf numFmtId="0" fontId="46" fillId="0" borderId="0" xfId="0" applyFont="1" applyAlignment="1">
      <alignment horizontal="left" vertical="center" wrapText="1"/>
    </xf>
    <xf numFmtId="0" fontId="46" fillId="2" borderId="0" xfId="0" applyFont="1" applyFill="1" applyAlignment="1">
      <alignment vertical="center" wrapText="1"/>
    </xf>
    <xf numFmtId="0" fontId="47" fillId="8" borderId="9" xfId="0" applyFont="1" applyFill="1" applyBorder="1" applyAlignment="1">
      <alignment horizontal="center" vertical="center" wrapText="1"/>
    </xf>
    <xf numFmtId="0" fontId="47" fillId="8" borderId="5" xfId="0" applyFont="1" applyFill="1" applyBorder="1" applyAlignment="1">
      <alignment horizontal="center" vertical="center" wrapText="1"/>
    </xf>
    <xf numFmtId="0" fontId="48" fillId="0" borderId="0" xfId="0" applyFont="1" applyAlignment="1">
      <alignment vertical="center" wrapText="1"/>
    </xf>
    <xf numFmtId="0" fontId="49" fillId="0" borderId="0" xfId="0" applyFont="1">
      <alignment vertical="center"/>
    </xf>
    <xf numFmtId="0" fontId="46" fillId="2" borderId="0" xfId="0" applyFont="1" applyFill="1">
      <alignment vertical="center"/>
    </xf>
    <xf numFmtId="0" fontId="47" fillId="8" borderId="2" xfId="0" applyFont="1" applyFill="1" applyBorder="1" applyAlignment="1">
      <alignment horizontal="center" vertical="center" wrapText="1"/>
    </xf>
    <xf numFmtId="0" fontId="47" fillId="8" borderId="21" xfId="0" applyFont="1" applyFill="1" applyBorder="1" applyAlignment="1">
      <alignment horizontal="center" vertical="center" wrapText="1"/>
    </xf>
    <xf numFmtId="0" fontId="47" fillId="8" borderId="3" xfId="0" applyFont="1" applyFill="1" applyBorder="1" applyAlignment="1">
      <alignment horizontal="center" vertical="center" wrapText="1"/>
    </xf>
    <xf numFmtId="0" fontId="47" fillId="8" borderId="10" xfId="0" applyFont="1" applyFill="1" applyBorder="1" applyAlignment="1">
      <alignment horizontal="center" vertical="center" wrapText="1"/>
    </xf>
    <xf numFmtId="0" fontId="47" fillId="8" borderId="5" xfId="0" applyFont="1" applyFill="1" applyBorder="1" applyAlignment="1">
      <alignment horizontal="center" vertical="center" wrapText="1"/>
    </xf>
    <xf numFmtId="0" fontId="47" fillId="8" borderId="4" xfId="0" applyFont="1" applyFill="1" applyBorder="1" applyAlignment="1">
      <alignment horizontal="center" vertical="center" wrapText="1"/>
    </xf>
    <xf numFmtId="0" fontId="47" fillId="8" borderId="22" xfId="0" applyFont="1" applyFill="1" applyBorder="1" applyAlignment="1">
      <alignment horizontal="center" vertical="center" wrapText="1"/>
    </xf>
    <xf numFmtId="0" fontId="47" fillId="8" borderId="23" xfId="0" applyFont="1" applyFill="1" applyBorder="1" applyAlignment="1">
      <alignment horizontal="center" vertical="center" wrapText="1"/>
    </xf>
    <xf numFmtId="0" fontId="47" fillId="8" borderId="6" xfId="0" applyFont="1" applyFill="1" applyBorder="1" applyAlignment="1">
      <alignment horizontal="center" vertical="center" wrapText="1"/>
    </xf>
    <xf numFmtId="0" fontId="47" fillId="8" borderId="7" xfId="0" applyFont="1" applyFill="1" applyBorder="1" applyAlignment="1">
      <alignment horizontal="center" vertical="center" wrapText="1"/>
    </xf>
    <xf numFmtId="0" fontId="47" fillId="8" borderId="9" xfId="0" applyFont="1" applyFill="1" applyBorder="1" applyAlignment="1">
      <alignment horizontal="center" vertical="center" wrapText="1"/>
    </xf>
    <xf numFmtId="176" fontId="47" fillId="8" borderId="9" xfId="0" applyNumberFormat="1" applyFont="1" applyFill="1" applyBorder="1" applyAlignment="1">
      <alignment horizontal="center" vertical="center" wrapText="1"/>
    </xf>
    <xf numFmtId="0" fontId="48" fillId="8" borderId="9" xfId="0" applyFont="1" applyFill="1" applyBorder="1" applyAlignment="1">
      <alignment horizontal="center"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8" fillId="0" borderId="9" xfId="0" applyFont="1" applyBorder="1" applyAlignment="1">
      <alignment horizontal="center" vertical="center"/>
    </xf>
    <xf numFmtId="0" fontId="2" fillId="0" borderId="9" xfId="0" applyFont="1" applyBorder="1" applyAlignment="1">
      <alignment horizontal="center" vertical="center"/>
    </xf>
    <xf numFmtId="0" fontId="6" fillId="0" borderId="9" xfId="0" applyFont="1" applyBorder="1" applyAlignment="1">
      <alignment horizontal="center" vertical="center" wrapText="1"/>
    </xf>
    <xf numFmtId="0" fontId="8" fillId="0" borderId="8" xfId="0" applyFont="1" applyBorder="1" applyAlignment="1">
      <alignment horizontal="center" vertical="center"/>
    </xf>
    <xf numFmtId="0" fontId="2" fillId="0" borderId="8" xfId="0" applyFont="1" applyBorder="1" applyAlignment="1">
      <alignment horizontal="center" vertical="center"/>
    </xf>
    <xf numFmtId="0" fontId="8" fillId="0" borderId="8" xfId="0" applyFont="1" applyBorder="1" applyAlignment="1">
      <alignment horizontal="left" vertical="center" wrapText="1"/>
    </xf>
    <xf numFmtId="0" fontId="9" fillId="0" borderId="8" xfId="0" applyFont="1" applyBorder="1" applyAlignment="1">
      <alignment horizontal="left" vertical="center" wrapText="1"/>
    </xf>
    <xf numFmtId="0" fontId="8" fillId="0" borderId="5" xfId="0" applyFont="1" applyBorder="1" applyAlignment="1">
      <alignment horizontal="center" vertical="center"/>
    </xf>
    <xf numFmtId="0" fontId="2" fillId="0" borderId="5" xfId="0" applyFont="1" applyBorder="1" applyAlignment="1">
      <alignment horizontal="center" vertical="center"/>
    </xf>
    <xf numFmtId="0" fontId="8" fillId="0" borderId="5" xfId="0" applyFont="1" applyBorder="1" applyAlignment="1">
      <alignment horizontal="left" vertical="center" wrapText="1"/>
    </xf>
    <xf numFmtId="0" fontId="9" fillId="0" borderId="5" xfId="0" applyFont="1" applyBorder="1" applyAlignment="1">
      <alignment horizontal="left" vertical="center" wrapText="1"/>
    </xf>
    <xf numFmtId="0" fontId="18" fillId="2" borderId="8" xfId="0" applyFont="1" applyFill="1" applyBorder="1" applyAlignment="1">
      <alignment horizontal="center" vertical="center"/>
    </xf>
    <xf numFmtId="0" fontId="19" fillId="2" borderId="8" xfId="0" applyFont="1" applyFill="1" applyBorder="1" applyAlignment="1">
      <alignment horizontal="center" vertical="center"/>
    </xf>
    <xf numFmtId="0" fontId="18" fillId="2" borderId="8" xfId="0" applyFont="1" applyFill="1" applyBorder="1" applyAlignment="1">
      <alignment horizontal="left" vertical="center" wrapText="1"/>
    </xf>
    <xf numFmtId="0" fontId="20" fillId="2" borderId="8" xfId="0" applyFont="1" applyFill="1" applyBorder="1" applyAlignment="1">
      <alignment horizontal="left" vertical="center" wrapText="1"/>
    </xf>
    <xf numFmtId="0" fontId="18" fillId="2" borderId="5" xfId="0" applyFont="1" applyFill="1" applyBorder="1" applyAlignment="1">
      <alignment horizontal="center" vertical="center"/>
    </xf>
    <xf numFmtId="0" fontId="19" fillId="2" borderId="5" xfId="0" applyFont="1" applyFill="1" applyBorder="1" applyAlignment="1">
      <alignment horizontal="center" vertical="center"/>
    </xf>
    <xf numFmtId="0" fontId="18" fillId="2" borderId="5" xfId="0" applyFont="1" applyFill="1" applyBorder="1" applyAlignment="1">
      <alignment horizontal="left" vertical="center" wrapText="1"/>
    </xf>
    <xf numFmtId="0" fontId="20" fillId="2" borderId="5" xfId="0" applyFont="1" applyFill="1" applyBorder="1" applyAlignment="1">
      <alignment horizontal="left" vertical="center" wrapText="1"/>
    </xf>
    <xf numFmtId="0" fontId="31" fillId="2" borderId="8" xfId="0" applyFont="1" applyFill="1" applyBorder="1" applyAlignment="1">
      <alignment horizontal="center" vertical="center"/>
    </xf>
    <xf numFmtId="0" fontId="2" fillId="2" borderId="8" xfId="0" applyFont="1" applyFill="1" applyBorder="1" applyAlignment="1">
      <alignment horizontal="center" vertical="center"/>
    </xf>
    <xf numFmtId="0" fontId="31" fillId="2" borderId="8" xfId="0" applyFont="1" applyFill="1" applyBorder="1" applyAlignment="1">
      <alignment horizontal="left" vertical="center" wrapText="1"/>
    </xf>
    <xf numFmtId="0" fontId="32" fillId="2" borderId="8" xfId="0" applyFont="1" applyFill="1" applyBorder="1" applyAlignment="1">
      <alignment horizontal="left" vertical="center" wrapText="1"/>
    </xf>
    <xf numFmtId="0" fontId="31" fillId="2" borderId="5" xfId="0" applyFont="1" applyFill="1" applyBorder="1" applyAlignment="1">
      <alignment horizontal="center" vertical="center"/>
    </xf>
    <xf numFmtId="0" fontId="2" fillId="2" borderId="5" xfId="0" applyFont="1" applyFill="1" applyBorder="1" applyAlignment="1">
      <alignment horizontal="center" vertical="center"/>
    </xf>
    <xf numFmtId="0" fontId="31" fillId="2" borderId="5" xfId="0" applyFont="1" applyFill="1" applyBorder="1" applyAlignment="1">
      <alignment horizontal="left" vertical="center" wrapText="1"/>
    </xf>
    <xf numFmtId="0" fontId="32" fillId="2" borderId="5" xfId="0" applyFont="1" applyFill="1" applyBorder="1" applyAlignment="1">
      <alignment horizontal="left" vertical="center" wrapText="1"/>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31" fillId="2" borderId="11" xfId="0" applyFont="1" applyFill="1" applyBorder="1" applyAlignment="1">
      <alignment horizontal="left" vertical="center" wrapText="1"/>
    </xf>
    <xf numFmtId="0" fontId="31" fillId="2" borderId="13" xfId="0" applyFont="1" applyFill="1" applyBorder="1" applyAlignment="1">
      <alignment horizontal="left" vertical="center" wrapText="1"/>
    </xf>
    <xf numFmtId="0" fontId="31" fillId="2" borderId="12" xfId="0" applyFont="1" applyFill="1" applyBorder="1" applyAlignment="1">
      <alignment horizontal="left" vertical="center" wrapText="1"/>
    </xf>
    <xf numFmtId="0" fontId="32" fillId="2" borderId="11" xfId="0" applyFont="1" applyFill="1" applyBorder="1" applyAlignment="1">
      <alignment horizontal="left" vertical="center" wrapText="1"/>
    </xf>
    <xf numFmtId="0" fontId="32" fillId="2" borderId="13" xfId="0" applyFont="1" applyFill="1" applyBorder="1" applyAlignment="1">
      <alignment horizontal="left" vertical="center" wrapText="1"/>
    </xf>
    <xf numFmtId="0" fontId="32" fillId="2" borderId="12" xfId="0" applyFont="1" applyFill="1" applyBorder="1" applyAlignment="1">
      <alignment horizontal="left" vertical="center" wrapText="1"/>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31" fillId="2" borderId="14" xfId="0" applyFont="1" applyFill="1" applyBorder="1" applyAlignment="1">
      <alignment horizontal="left" vertical="center" wrapText="1"/>
    </xf>
    <xf numFmtId="0" fontId="31" fillId="2" borderId="16" xfId="0" applyFont="1" applyFill="1" applyBorder="1" applyAlignment="1">
      <alignment horizontal="left" vertical="center" wrapText="1"/>
    </xf>
    <xf numFmtId="0" fontId="31" fillId="2" borderId="15" xfId="0" applyFont="1" applyFill="1" applyBorder="1" applyAlignment="1">
      <alignment horizontal="left" vertical="center" wrapText="1"/>
    </xf>
    <xf numFmtId="0" fontId="32" fillId="2" borderId="14" xfId="0" applyFont="1" applyFill="1" applyBorder="1" applyAlignment="1">
      <alignment horizontal="left" vertical="center" wrapText="1"/>
    </xf>
    <xf numFmtId="0" fontId="32" fillId="2" borderId="16" xfId="0" applyFont="1" applyFill="1" applyBorder="1" applyAlignment="1">
      <alignment horizontal="left" vertical="center" wrapText="1"/>
    </xf>
    <xf numFmtId="0" fontId="32" fillId="2" borderId="15" xfId="0" applyFont="1" applyFill="1" applyBorder="1" applyAlignment="1">
      <alignment horizontal="left" vertical="center" wrapText="1"/>
    </xf>
    <xf numFmtId="0" fontId="9" fillId="0" borderId="5" xfId="0" applyFont="1" applyBorder="1" applyAlignment="1">
      <alignment horizontal="center" vertical="center" wrapText="1"/>
    </xf>
    <xf numFmtId="0" fontId="9" fillId="0" borderId="8" xfId="0" applyFont="1" applyBorder="1" applyAlignment="1">
      <alignment horizontal="center" vertical="center" wrapText="1"/>
    </xf>
    <xf numFmtId="0" fontId="4" fillId="2" borderId="10"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9" xfId="0" quotePrefix="1" applyFont="1" applyFill="1" applyBorder="1" applyAlignment="1">
      <alignment vertical="center" wrapText="1"/>
    </xf>
    <xf numFmtId="0" fontId="4" fillId="2" borderId="9" xfId="0" applyFont="1" applyFill="1" applyBorder="1" applyAlignment="1">
      <alignment vertical="center" wrapText="1"/>
    </xf>
    <xf numFmtId="0" fontId="4" fillId="2" borderId="10"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5" xfId="0" quotePrefix="1" applyFont="1" applyFill="1" applyBorder="1" applyAlignment="1">
      <alignment horizontal="center" vertical="center" wrapText="1"/>
    </xf>
    <xf numFmtId="0" fontId="4" fillId="2" borderId="9" xfId="0" quotePrefix="1" applyFont="1" applyFill="1" applyBorder="1" applyAlignment="1">
      <alignment horizontal="center" vertical="center"/>
    </xf>
    <xf numFmtId="0" fontId="4" fillId="2" borderId="9" xfId="0" applyFont="1" applyFill="1" applyBorder="1" applyAlignment="1">
      <alignment horizontal="center" vertical="center"/>
    </xf>
    <xf numFmtId="0" fontId="4" fillId="2" borderId="9" xfId="0" quotePrefix="1"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9" xfId="0" applyFont="1" applyFill="1" applyBorder="1" applyAlignment="1">
      <alignment horizontal="center" vertical="center"/>
    </xf>
    <xf numFmtId="0" fontId="4" fillId="2" borderId="10" xfId="0" quotePrefix="1" applyFont="1" applyFill="1" applyBorder="1" applyAlignment="1">
      <alignment vertical="center" wrapText="1"/>
    </xf>
    <xf numFmtId="0" fontId="4" fillId="2" borderId="4" xfId="0" quotePrefix="1" applyFont="1" applyFill="1" applyBorder="1" applyAlignment="1">
      <alignment vertical="center" wrapText="1"/>
    </xf>
    <xf numFmtId="0" fontId="4" fillId="2" borderId="5" xfId="0" quotePrefix="1" applyFont="1" applyFill="1" applyBorder="1" applyAlignment="1">
      <alignment vertical="center" wrapText="1"/>
    </xf>
    <xf numFmtId="0" fontId="5" fillId="2" borderId="10" xfId="0" applyFont="1" applyFill="1" applyBorder="1" applyAlignment="1">
      <alignment horizontal="center" vertical="center" wrapText="1"/>
    </xf>
    <xf numFmtId="0" fontId="5" fillId="2" borderId="9" xfId="0" applyFont="1" applyFill="1" applyBorder="1" applyAlignment="1">
      <alignment horizontal="left" vertical="center" wrapText="1"/>
    </xf>
    <xf numFmtId="0" fontId="4" fillId="2" borderId="10" xfId="0" quotePrefix="1" applyFont="1" applyFill="1" applyBorder="1" applyAlignment="1">
      <alignment horizontal="left" vertical="center" wrapText="1"/>
    </xf>
    <xf numFmtId="0" fontId="4" fillId="2" borderId="4" xfId="0" quotePrefix="1" applyFont="1" applyFill="1" applyBorder="1" applyAlignment="1">
      <alignment horizontal="left" vertical="center" wrapText="1"/>
    </xf>
    <xf numFmtId="0" fontId="4" fillId="2" borderId="5" xfId="0" quotePrefix="1" applyFont="1" applyFill="1" applyBorder="1" applyAlignment="1">
      <alignment horizontal="left" vertical="center" wrapText="1"/>
    </xf>
    <xf numFmtId="0" fontId="4" fillId="2" borderId="10" xfId="0" applyFont="1" applyFill="1" applyBorder="1" applyAlignment="1">
      <alignment vertical="center" wrapText="1"/>
    </xf>
    <xf numFmtId="0" fontId="4" fillId="2" borderId="4" xfId="0" applyFont="1" applyFill="1" applyBorder="1" applyAlignment="1">
      <alignment vertical="center" wrapText="1"/>
    </xf>
    <xf numFmtId="0" fontId="4" fillId="2" borderId="5" xfId="0" applyFont="1" applyFill="1" applyBorder="1" applyAlignment="1">
      <alignment vertical="center" wrapText="1"/>
    </xf>
    <xf numFmtId="0" fontId="4" fillId="2" borderId="9" xfId="0" quotePrefix="1" applyFont="1" applyFill="1" applyBorder="1" applyAlignment="1">
      <alignment horizontal="left" vertical="center" wrapText="1"/>
    </xf>
    <xf numFmtId="0" fontId="4" fillId="2" borderId="9" xfId="0" applyFont="1" applyFill="1" applyBorder="1" applyAlignment="1">
      <alignment horizontal="left" vertical="center" wrapText="1"/>
    </xf>
    <xf numFmtId="0" fontId="44" fillId="2" borderId="9" xfId="0" applyFont="1" applyFill="1" applyBorder="1" applyAlignment="1">
      <alignment horizontal="center" vertical="center"/>
    </xf>
    <xf numFmtId="0" fontId="4" fillId="2" borderId="10"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5" xfId="0" applyFont="1" applyFill="1" applyBorder="1" applyAlignment="1">
      <alignment horizontal="left" vertical="center" wrapText="1"/>
    </xf>
    <xf numFmtId="0" fontId="13" fillId="2" borderId="9" xfId="0" quotePrefix="1" applyFont="1" applyFill="1" applyBorder="1" applyAlignment="1">
      <alignment horizontal="left" vertical="center" wrapText="1"/>
    </xf>
    <xf numFmtId="0" fontId="4" fillId="2" borderId="9" xfId="0" applyFont="1" applyFill="1" applyBorder="1" applyAlignment="1">
      <alignment horizontal="left" vertical="center"/>
    </xf>
    <xf numFmtId="0" fontId="14" fillId="2" borderId="9" xfId="0" quotePrefix="1" applyFont="1" applyFill="1" applyBorder="1" applyAlignment="1">
      <alignment vertical="center" wrapText="1"/>
    </xf>
    <xf numFmtId="0" fontId="14" fillId="2" borderId="9" xfId="0" applyFont="1" applyFill="1" applyBorder="1" applyAlignment="1">
      <alignment vertical="center" wrapText="1"/>
    </xf>
    <xf numFmtId="0" fontId="4" fillId="2" borderId="10"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5" fillId="2" borderId="2"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45" fillId="2" borderId="0" xfId="0" quotePrefix="1" applyFont="1" applyFill="1" applyAlignment="1">
      <alignment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43" fillId="2" borderId="4" xfId="0" applyFont="1" applyFill="1" applyBorder="1" applyAlignment="1">
      <alignment horizontal="center" vertical="center" wrapText="1"/>
    </xf>
    <xf numFmtId="0" fontId="43" fillId="2"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176" fontId="40" fillId="2" borderId="10" xfId="0" applyNumberFormat="1" applyFont="1" applyFill="1" applyBorder="1" applyAlignment="1">
      <alignment horizontal="center" vertical="center" wrapText="1"/>
    </xf>
    <xf numFmtId="176" fontId="5" fillId="2" borderId="4" xfId="0" applyNumberFormat="1" applyFont="1" applyFill="1" applyBorder="1" applyAlignment="1">
      <alignment horizontal="center" vertical="center" wrapText="1"/>
    </xf>
    <xf numFmtId="176" fontId="5" fillId="2" borderId="5" xfId="0" applyNumberFormat="1" applyFont="1" applyFill="1" applyBorder="1" applyAlignment="1">
      <alignment horizontal="center" vertical="center" wrapText="1"/>
    </xf>
    <xf numFmtId="0" fontId="10" fillId="2" borderId="10" xfId="0" quotePrefix="1" applyFont="1" applyFill="1" applyBorder="1" applyAlignment="1">
      <alignment horizontal="left" vertical="center" wrapText="1"/>
    </xf>
    <xf numFmtId="0" fontId="5" fillId="2" borderId="10"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14" fillId="2" borderId="9" xfId="0" applyFont="1" applyFill="1" applyBorder="1" applyAlignment="1">
      <alignment horizontal="center" vertical="center"/>
    </xf>
    <xf numFmtId="0" fontId="3" fillId="3" borderId="1" xfId="0" applyFont="1" applyFill="1" applyBorder="1" applyAlignment="1">
      <alignment vertical="center" wrapText="1"/>
    </xf>
    <xf numFmtId="0" fontId="4" fillId="0" borderId="9" xfId="0" quotePrefix="1" applyFont="1" applyBorder="1" applyAlignment="1">
      <alignment vertical="center" wrapText="1"/>
    </xf>
    <xf numFmtId="0" fontId="4" fillId="0" borderId="9" xfId="0" applyFont="1" applyBorder="1" applyAlignment="1">
      <alignment vertical="center" wrapText="1"/>
    </xf>
    <xf numFmtId="0" fontId="4" fillId="0" borderId="10" xfId="0" quotePrefix="1" applyFont="1" applyBorder="1" applyAlignment="1">
      <alignment vertical="center" wrapText="1"/>
    </xf>
    <xf numFmtId="0" fontId="4" fillId="0" borderId="4" xfId="0" quotePrefix="1" applyFont="1" applyBorder="1" applyAlignment="1">
      <alignment vertical="center" wrapText="1"/>
    </xf>
    <xf numFmtId="0" fontId="4" fillId="0" borderId="5" xfId="0" quotePrefix="1" applyFont="1" applyBorder="1" applyAlignment="1">
      <alignment vertical="center" wrapText="1"/>
    </xf>
    <xf numFmtId="0" fontId="21" fillId="2" borderId="10" xfId="0" applyFont="1" applyFill="1" applyBorder="1" applyAlignment="1">
      <alignment vertical="center" wrapText="1"/>
    </xf>
    <xf numFmtId="0" fontId="21" fillId="2" borderId="4" xfId="0" applyFont="1" applyFill="1" applyBorder="1" applyAlignment="1">
      <alignment vertical="center" wrapText="1"/>
    </xf>
    <xf numFmtId="0" fontId="21" fillId="2" borderId="5" xfId="0" applyFont="1" applyFill="1" applyBorder="1" applyAlignment="1">
      <alignment vertical="center" wrapText="1"/>
    </xf>
    <xf numFmtId="0" fontId="30" fillId="2" borderId="9" xfId="0" quotePrefix="1" applyFont="1" applyFill="1" applyBorder="1" applyAlignment="1">
      <alignment vertical="center" wrapText="1"/>
    </xf>
    <xf numFmtId="0" fontId="13" fillId="2" borderId="9" xfId="0" quotePrefix="1" applyFont="1" applyFill="1" applyBorder="1" applyAlignment="1">
      <alignment vertical="center" wrapText="1"/>
    </xf>
    <xf numFmtId="0" fontId="21" fillId="0" borderId="9" xfId="0" quotePrefix="1" applyFont="1" applyBorder="1" applyAlignment="1">
      <alignment vertical="center" wrapText="1"/>
    </xf>
    <xf numFmtId="0" fontId="21" fillId="0" borderId="9" xfId="0" applyFont="1" applyBorder="1" applyAlignment="1">
      <alignment vertical="center" wrapText="1"/>
    </xf>
    <xf numFmtId="0" fontId="21" fillId="2" borderId="10" xfId="0" quotePrefix="1" applyFont="1" applyFill="1" applyBorder="1" applyAlignment="1">
      <alignment vertical="center" wrapText="1"/>
    </xf>
    <xf numFmtId="0" fontId="21" fillId="2" borderId="4" xfId="0" quotePrefix="1" applyFont="1" applyFill="1" applyBorder="1" applyAlignment="1">
      <alignment vertical="center" wrapText="1"/>
    </xf>
    <xf numFmtId="0" fontId="21" fillId="2" borderId="5" xfId="0" quotePrefix="1" applyFont="1" applyFill="1" applyBorder="1" applyAlignment="1">
      <alignment vertical="center" wrapText="1"/>
    </xf>
    <xf numFmtId="0" fontId="4" fillId="0" borderId="10"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21" fillId="0" borderId="10" xfId="0" quotePrefix="1" applyFont="1" applyBorder="1" applyAlignment="1">
      <alignment vertical="center" wrapText="1"/>
    </xf>
    <xf numFmtId="0" fontId="21" fillId="0" borderId="4" xfId="0" quotePrefix="1" applyFont="1" applyBorder="1" applyAlignment="1">
      <alignment vertical="center" wrapText="1"/>
    </xf>
    <xf numFmtId="0" fontId="21" fillId="0" borderId="5" xfId="0" quotePrefix="1" applyFont="1" applyBorder="1" applyAlignment="1">
      <alignment vertical="center" wrapText="1"/>
    </xf>
    <xf numFmtId="0" fontId="21" fillId="6" borderId="10" xfId="0" quotePrefix="1" applyFont="1" applyFill="1" applyBorder="1" applyAlignment="1">
      <alignment vertical="center" wrapText="1"/>
    </xf>
    <xf numFmtId="0" fontId="21" fillId="6" borderId="4" xfId="0" quotePrefix="1" applyFont="1" applyFill="1" applyBorder="1" applyAlignment="1">
      <alignment vertical="center" wrapText="1"/>
    </xf>
    <xf numFmtId="0" fontId="21" fillId="6" borderId="5" xfId="0" quotePrefix="1" applyFont="1" applyFill="1" applyBorder="1" applyAlignment="1">
      <alignment vertical="center" wrapText="1"/>
    </xf>
    <xf numFmtId="0" fontId="21" fillId="6" borderId="9" xfId="0" quotePrefix="1" applyFont="1" applyFill="1" applyBorder="1" applyAlignment="1">
      <alignment vertical="center" wrapText="1"/>
    </xf>
    <xf numFmtId="0" fontId="21" fillId="6" borderId="9" xfId="0" applyFont="1" applyFill="1" applyBorder="1" applyAlignment="1">
      <alignment vertical="center" wrapText="1"/>
    </xf>
    <xf numFmtId="0" fontId="21" fillId="4" borderId="9" xfId="0" quotePrefix="1" applyFont="1" applyFill="1" applyBorder="1" applyAlignment="1">
      <alignment vertical="center" wrapText="1"/>
    </xf>
    <xf numFmtId="0" fontId="28" fillId="4" borderId="9" xfId="0" quotePrefix="1" applyFont="1" applyFill="1" applyBorder="1" applyAlignment="1">
      <alignment vertical="center" wrapText="1"/>
    </xf>
    <xf numFmtId="0" fontId="16" fillId="0" borderId="9" xfId="0" quotePrefix="1" applyFont="1" applyBorder="1" applyAlignment="1">
      <alignment vertical="center" wrapText="1"/>
    </xf>
    <xf numFmtId="0" fontId="4" fillId="6" borderId="9" xfId="0" quotePrefix="1" applyFont="1" applyFill="1" applyBorder="1" applyAlignment="1">
      <alignment vertical="center" wrapText="1"/>
    </xf>
    <xf numFmtId="0" fontId="4" fillId="6" borderId="9" xfId="0" applyFont="1" applyFill="1" applyBorder="1" applyAlignment="1">
      <alignment vertical="center" wrapText="1"/>
    </xf>
    <xf numFmtId="0" fontId="33" fillId="0" borderId="20" xfId="0" applyFont="1" applyBorder="1" applyAlignment="1">
      <alignment horizontal="left" vertical="center" wrapText="1"/>
    </xf>
    <xf numFmtId="0" fontId="33" fillId="0" borderId="19" xfId="0" applyFont="1" applyBorder="1" applyAlignment="1">
      <alignment horizontal="left" vertical="center" wrapText="1"/>
    </xf>
    <xf numFmtId="0" fontId="33" fillId="0" borderId="18" xfId="0" applyFont="1" applyBorder="1" applyAlignment="1">
      <alignment horizontal="left" vertical="center" wrapText="1"/>
    </xf>
    <xf numFmtId="0" fontId="17" fillId="0" borderId="9" xfId="0" applyFont="1" applyBorder="1" applyAlignment="1">
      <alignment horizontal="center" vertical="center" wrapText="1"/>
    </xf>
    <xf numFmtId="0" fontId="4" fillId="0" borderId="9"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9" xfId="0" quotePrefix="1" applyFont="1" applyBorder="1" applyAlignment="1">
      <alignment horizontal="center" vertical="center" wrapText="1"/>
    </xf>
    <xf numFmtId="17" fontId="4" fillId="2" borderId="10" xfId="0" quotePrefix="1" applyNumberFormat="1" applyFont="1" applyFill="1" applyBorder="1" applyAlignment="1">
      <alignment horizontal="center" vertical="center" wrapText="1"/>
    </xf>
    <xf numFmtId="17" fontId="4" fillId="2" borderId="4" xfId="0" quotePrefix="1" applyNumberFormat="1" applyFont="1" applyFill="1" applyBorder="1" applyAlignment="1">
      <alignment horizontal="center" vertical="center" wrapText="1"/>
    </xf>
    <xf numFmtId="17" fontId="4" fillId="2" borderId="5" xfId="0" quotePrefix="1" applyNumberFormat="1" applyFont="1" applyFill="1" applyBorder="1" applyAlignment="1">
      <alignment horizontal="center" vertical="center" wrapText="1"/>
    </xf>
    <xf numFmtId="0" fontId="21" fillId="0" borderId="10"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5" xfId="0" applyFont="1" applyBorder="1" applyAlignment="1">
      <alignment horizontal="center" vertical="center" wrapText="1"/>
    </xf>
    <xf numFmtId="17" fontId="21" fillId="2" borderId="9" xfId="0" quotePrefix="1" applyNumberFormat="1" applyFont="1" applyFill="1" applyBorder="1" applyAlignment="1">
      <alignment horizontal="center" vertical="center"/>
    </xf>
    <xf numFmtId="0" fontId="21" fillId="2" borderId="9" xfId="0" applyFont="1" applyFill="1" applyBorder="1" applyAlignment="1">
      <alignment horizontal="center" vertical="center"/>
    </xf>
    <xf numFmtId="0" fontId="26" fillId="0" borderId="9" xfId="0" applyFont="1" applyBorder="1" applyAlignment="1">
      <alignment horizontal="center" vertical="center" wrapText="1"/>
    </xf>
    <xf numFmtId="0" fontId="21" fillId="2" borderId="9" xfId="0" quotePrefix="1" applyFont="1" applyFill="1" applyBorder="1" applyAlignment="1">
      <alignment horizontal="center" vertical="center" wrapText="1"/>
    </xf>
    <xf numFmtId="17" fontId="21" fillId="2" borderId="9" xfId="0" quotePrefix="1" applyNumberFormat="1" applyFont="1" applyFill="1" applyBorder="1" applyAlignment="1">
      <alignment horizontal="center" vertical="center" wrapText="1"/>
    </xf>
    <xf numFmtId="0" fontId="21" fillId="2" borderId="9" xfId="0" quotePrefix="1" applyFont="1" applyFill="1" applyBorder="1" applyAlignment="1">
      <alignment horizontal="center" vertical="center"/>
    </xf>
    <xf numFmtId="0" fontId="21" fillId="6" borderId="9" xfId="0" applyFont="1" applyFill="1" applyBorder="1" applyAlignment="1">
      <alignment horizontal="center" vertical="center" wrapText="1"/>
    </xf>
    <xf numFmtId="17" fontId="4" fillId="2" borderId="9" xfId="0" quotePrefix="1" applyNumberFormat="1" applyFont="1" applyFill="1" applyBorder="1" applyAlignment="1">
      <alignment horizontal="center" vertical="center" wrapText="1"/>
    </xf>
    <xf numFmtId="0" fontId="26" fillId="2" borderId="9" xfId="0" applyFont="1" applyFill="1" applyBorder="1" applyAlignment="1">
      <alignment horizontal="center" vertical="center" wrapText="1"/>
    </xf>
    <xf numFmtId="0" fontId="21" fillId="2" borderId="9" xfId="0" applyFont="1" applyFill="1" applyBorder="1" applyAlignment="1">
      <alignment horizontal="center" vertical="center" wrapText="1"/>
    </xf>
    <xf numFmtId="0" fontId="21" fillId="5" borderId="9" xfId="0" applyFont="1" applyFill="1" applyBorder="1" applyAlignment="1">
      <alignment horizontal="center" vertical="center" wrapText="1"/>
    </xf>
    <xf numFmtId="0" fontId="5" fillId="2" borderId="9" xfId="0" quotePrefix="1" applyFont="1" applyFill="1" applyBorder="1" applyAlignment="1">
      <alignment horizontal="center" vertical="center" wrapText="1"/>
    </xf>
    <xf numFmtId="0" fontId="4" fillId="5" borderId="9" xfId="0" applyFont="1" applyFill="1" applyBorder="1" applyAlignment="1">
      <alignment horizontal="center" vertical="center" wrapText="1"/>
    </xf>
    <xf numFmtId="0" fontId="5" fillId="2" borderId="10" xfId="0" quotePrefix="1" applyFont="1" applyFill="1" applyBorder="1" applyAlignment="1">
      <alignment horizontal="center" vertical="center" wrapText="1"/>
    </xf>
    <xf numFmtId="0" fontId="5" fillId="2" borderId="4" xfId="0" quotePrefix="1" applyFont="1" applyFill="1" applyBorder="1" applyAlignment="1">
      <alignment horizontal="center" vertical="center"/>
    </xf>
    <xf numFmtId="0" fontId="5" fillId="2" borderId="5" xfId="0" quotePrefix="1" applyFont="1" applyFill="1" applyBorder="1" applyAlignment="1">
      <alignment horizontal="center" vertical="center"/>
    </xf>
    <xf numFmtId="0" fontId="23" fillId="0" borderId="9" xfId="0" applyFont="1" applyBorder="1" applyAlignment="1">
      <alignment horizontal="center" vertical="center" wrapText="1"/>
    </xf>
    <xf numFmtId="0" fontId="5" fillId="0" borderId="9" xfId="0" applyFont="1" applyBorder="1" applyAlignment="1">
      <alignment horizontal="center" vertical="center" wrapText="1"/>
    </xf>
    <xf numFmtId="0" fontId="21" fillId="2" borderId="10" xfId="0" applyFont="1" applyFill="1" applyBorder="1" applyAlignment="1">
      <alignment horizontal="center" vertical="center" wrapText="1"/>
    </xf>
    <xf numFmtId="0" fontId="21" fillId="2" borderId="4" xfId="0" applyFont="1" applyFill="1" applyBorder="1" applyAlignment="1">
      <alignment horizontal="center" vertical="center" wrapText="1"/>
    </xf>
    <xf numFmtId="0" fontId="21" fillId="2" borderId="5" xfId="0" applyFont="1" applyFill="1" applyBorder="1" applyAlignment="1">
      <alignment horizontal="center" vertical="center" wrapText="1"/>
    </xf>
    <xf numFmtId="0" fontId="4" fillId="0" borderId="10"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17" fontId="21" fillId="2" borderId="10" xfId="0" quotePrefix="1" applyNumberFormat="1" applyFont="1" applyFill="1" applyBorder="1" applyAlignment="1">
      <alignment horizontal="center" vertical="center" wrapText="1"/>
    </xf>
    <xf numFmtId="0" fontId="21" fillId="2" borderId="4" xfId="0" quotePrefix="1" applyFont="1" applyFill="1" applyBorder="1" applyAlignment="1">
      <alignment horizontal="center" vertical="center"/>
    </xf>
    <xf numFmtId="0" fontId="21" fillId="2" borderId="5" xfId="0" quotePrefix="1" applyFont="1" applyFill="1" applyBorder="1" applyAlignment="1">
      <alignment horizontal="center" vertical="center"/>
    </xf>
    <xf numFmtId="0" fontId="4" fillId="2" borderId="10" xfId="0" quotePrefix="1" applyFont="1" applyFill="1" applyBorder="1" applyAlignment="1">
      <alignment horizontal="center" vertical="center"/>
    </xf>
    <xf numFmtId="0" fontId="4" fillId="2" borderId="4" xfId="0" quotePrefix="1" applyFont="1" applyFill="1" applyBorder="1" applyAlignment="1">
      <alignment horizontal="center" vertical="center"/>
    </xf>
    <xf numFmtId="0" fontId="4" fillId="2" borderId="5" xfId="0" quotePrefix="1" applyFont="1" applyFill="1" applyBorder="1" applyAlignment="1">
      <alignment horizontal="center" vertical="center"/>
    </xf>
    <xf numFmtId="0" fontId="27" fillId="0" borderId="9" xfId="0" applyFont="1" applyBorder="1" applyAlignment="1">
      <alignment horizontal="center" vertical="center" wrapText="1"/>
    </xf>
    <xf numFmtId="0" fontId="21" fillId="2" borderId="10" xfId="0" applyFont="1" applyFill="1" applyBorder="1" applyAlignment="1">
      <alignment horizontal="left" vertical="center" wrapText="1"/>
    </xf>
    <xf numFmtId="0" fontId="21" fillId="2" borderId="4" xfId="0" applyFont="1" applyFill="1" applyBorder="1" applyAlignment="1">
      <alignment horizontal="left" vertical="center" wrapText="1"/>
    </xf>
    <xf numFmtId="0" fontId="21" fillId="2" borderId="5" xfId="0" applyFont="1" applyFill="1" applyBorder="1" applyAlignment="1">
      <alignment horizontal="left" vertical="center" wrapText="1"/>
    </xf>
    <xf numFmtId="0" fontId="21" fillId="0" borderId="10" xfId="0" applyFont="1" applyBorder="1" applyAlignment="1">
      <alignment horizontal="left" vertical="center" wrapText="1"/>
    </xf>
    <xf numFmtId="0" fontId="21" fillId="0" borderId="4" xfId="0" applyFont="1" applyBorder="1" applyAlignment="1">
      <alignment horizontal="left" vertical="center" wrapText="1"/>
    </xf>
    <xf numFmtId="0" fontId="21" fillId="0" borderId="5" xfId="0" applyFont="1" applyBorder="1" applyAlignment="1">
      <alignment horizontal="left" vertical="center" wrapText="1"/>
    </xf>
    <xf numFmtId="0" fontId="17" fillId="6" borderId="9"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11" fillId="2" borderId="10" xfId="0" quotePrefix="1" applyFont="1" applyFill="1" applyBorder="1" applyAlignment="1">
      <alignment horizontal="center" vertical="center" wrapText="1"/>
    </xf>
    <xf numFmtId="0" fontId="11" fillId="2" borderId="4" xfId="0" quotePrefix="1" applyFont="1" applyFill="1" applyBorder="1" applyAlignment="1">
      <alignment horizontal="center" vertical="center" wrapText="1"/>
    </xf>
    <xf numFmtId="0" fontId="11" fillId="2" borderId="5" xfId="0" quotePrefix="1" applyFont="1" applyFill="1" applyBorder="1" applyAlignment="1">
      <alignment horizontal="center" vertical="center" wrapText="1"/>
    </xf>
    <xf numFmtId="0" fontId="21" fillId="2" borderId="10" xfId="0" quotePrefix="1" applyFont="1" applyFill="1" applyBorder="1" applyAlignment="1">
      <alignment horizontal="center" vertical="center"/>
    </xf>
  </cellXfs>
  <cellStyles count="2">
    <cellStyle name="표준" xfId="0" builtinId="0"/>
    <cellStyle name="표준 2" xfId="1" xr:uid="{00000000-0005-0000-0000-000001000000}"/>
  </cellStyles>
  <dxfs count="0"/>
  <tableStyles count="0" defaultTableStyle="TableStyleMedium9" defaultPivotStyle="PivotStyleLight16"/>
  <colors>
    <mruColors>
      <color rgb="FF0000FF"/>
      <color rgb="FFFF0000"/>
      <color rgb="FF0DFF3B"/>
      <color rgb="FFFD3903"/>
      <color rgb="FF000066"/>
      <color rgb="FF0000CC"/>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8"/>
  <sheetViews>
    <sheetView view="pageBreakPreview" zoomScale="85" zoomScaleNormal="85" zoomScaleSheetLayoutView="85" workbookViewId="0">
      <selection activeCell="E9" sqref="E9"/>
    </sheetView>
  </sheetViews>
  <sheetFormatPr defaultColWidth="9" defaultRowHeight="16.899999999999999"/>
  <cols>
    <col min="1" max="1" width="4.625" style="13" customWidth="1"/>
    <col min="2" max="2" width="12.1875" style="6" customWidth="1"/>
    <col min="3" max="3" width="10.375" style="7" customWidth="1"/>
    <col min="4" max="4" width="12.875" style="8" customWidth="1"/>
    <col min="5" max="5" width="20.1875" style="9" customWidth="1"/>
    <col min="6" max="6" width="14.6875" style="1" customWidth="1"/>
    <col min="7" max="7" width="6.875" style="1" customWidth="1"/>
    <col min="8" max="8" width="8.125" style="1" customWidth="1"/>
    <col min="9" max="9" width="4.5" style="1" customWidth="1"/>
    <col min="10" max="10" width="10.625" style="1" customWidth="1"/>
    <col min="11" max="11" width="10.6875" style="1" customWidth="1"/>
    <col min="12" max="12" width="31" style="10" customWidth="1"/>
    <col min="13" max="13" width="24.125" style="10" customWidth="1"/>
    <col min="14" max="14" width="7" style="1" customWidth="1"/>
    <col min="15" max="15" width="8.1875" style="1" customWidth="1"/>
    <col min="16" max="16" width="4.6875" style="1" customWidth="1"/>
    <col min="17" max="17" width="12" style="1" customWidth="1"/>
    <col min="18" max="16384" width="9" style="1"/>
  </cols>
  <sheetData>
    <row r="1" spans="1:14" s="3" customFormat="1" ht="24.95" customHeight="1">
      <c r="A1" s="2"/>
      <c r="B1" s="84" t="s">
        <v>3</v>
      </c>
      <c r="C1" s="84"/>
      <c r="D1" s="84"/>
      <c r="E1" s="84"/>
      <c r="F1" s="84"/>
      <c r="G1" s="84"/>
      <c r="H1" s="84"/>
      <c r="I1" s="84"/>
      <c r="J1" s="84"/>
      <c r="K1" s="84"/>
      <c r="L1" s="84"/>
      <c r="M1" s="84"/>
      <c r="N1" s="84"/>
    </row>
    <row r="2" spans="1:14" s="3" customFormat="1" ht="24.95" customHeight="1">
      <c r="A2" s="2"/>
      <c r="B2" s="85" t="s">
        <v>4</v>
      </c>
      <c r="C2" s="85"/>
      <c r="D2" s="85"/>
      <c r="E2" s="85"/>
      <c r="F2" s="85"/>
      <c r="G2" s="85"/>
      <c r="H2" s="85"/>
      <c r="I2" s="85"/>
      <c r="J2" s="85"/>
      <c r="K2" s="85"/>
      <c r="L2" s="85"/>
      <c r="M2" s="85"/>
      <c r="N2" s="85"/>
    </row>
    <row r="3" spans="1:14" s="3" customFormat="1" ht="24.95" customHeight="1">
      <c r="A3" s="2"/>
      <c r="B3" s="16" t="s">
        <v>5</v>
      </c>
      <c r="C3" s="86" t="s">
        <v>6</v>
      </c>
      <c r="D3" s="86"/>
      <c r="E3" s="17" t="s">
        <v>7</v>
      </c>
      <c r="F3" s="87" t="s">
        <v>8</v>
      </c>
      <c r="G3" s="87"/>
      <c r="H3" s="86" t="s">
        <v>9</v>
      </c>
      <c r="I3" s="86"/>
      <c r="J3" s="86"/>
      <c r="K3" s="86"/>
      <c r="L3" s="86" t="s">
        <v>10</v>
      </c>
      <c r="M3" s="86"/>
      <c r="N3" s="86"/>
    </row>
    <row r="4" spans="1:14" s="3" customFormat="1" ht="44.25" customHeight="1">
      <c r="A4" s="2"/>
      <c r="B4" s="88">
        <v>1</v>
      </c>
      <c r="C4" s="89" t="s">
        <v>11</v>
      </c>
      <c r="D4" s="89"/>
      <c r="E4" s="4" t="s">
        <v>12</v>
      </c>
      <c r="F4" s="90" t="s">
        <v>13</v>
      </c>
      <c r="G4" s="90"/>
      <c r="H4" s="91" t="s">
        <v>14</v>
      </c>
      <c r="I4" s="91"/>
      <c r="J4" s="91"/>
      <c r="K4" s="91"/>
      <c r="L4" s="92" t="s">
        <v>206</v>
      </c>
      <c r="M4" s="92"/>
      <c r="N4" s="92"/>
    </row>
    <row r="5" spans="1:14" s="3" customFormat="1" ht="57" customHeight="1">
      <c r="A5" s="2"/>
      <c r="B5" s="88"/>
      <c r="C5" s="93" t="s">
        <v>200</v>
      </c>
      <c r="D5" s="93"/>
      <c r="E5" s="5" t="s">
        <v>15</v>
      </c>
      <c r="F5" s="94" t="s">
        <v>67</v>
      </c>
      <c r="G5" s="94"/>
      <c r="H5" s="95" t="s">
        <v>16</v>
      </c>
      <c r="I5" s="95"/>
      <c r="J5" s="95"/>
      <c r="K5" s="95"/>
      <c r="L5" s="96" t="s">
        <v>207</v>
      </c>
      <c r="M5" s="96"/>
      <c r="N5" s="96"/>
    </row>
    <row r="6" spans="1:14" s="3" customFormat="1" ht="48.75" customHeight="1">
      <c r="A6" s="2"/>
      <c r="B6" s="88">
        <v>2</v>
      </c>
      <c r="C6" s="97" t="s">
        <v>203</v>
      </c>
      <c r="D6" s="97"/>
      <c r="E6" s="49" t="s">
        <v>204</v>
      </c>
      <c r="F6" s="98" t="s">
        <v>42</v>
      </c>
      <c r="G6" s="98"/>
      <c r="H6" s="99" t="s">
        <v>43</v>
      </c>
      <c r="I6" s="99"/>
      <c r="J6" s="99"/>
      <c r="K6" s="99"/>
      <c r="L6" s="100" t="s">
        <v>712</v>
      </c>
      <c r="M6" s="100"/>
      <c r="N6" s="100"/>
    </row>
    <row r="7" spans="1:14" s="3" customFormat="1" ht="53.25" customHeight="1">
      <c r="A7" s="2"/>
      <c r="B7" s="88"/>
      <c r="C7" s="101" t="s">
        <v>168</v>
      </c>
      <c r="D7" s="101"/>
      <c r="E7" s="50" t="s">
        <v>205</v>
      </c>
      <c r="F7" s="102" t="s">
        <v>45</v>
      </c>
      <c r="G7" s="102"/>
      <c r="H7" s="103" t="s">
        <v>46</v>
      </c>
      <c r="I7" s="103"/>
      <c r="J7" s="103"/>
      <c r="K7" s="103"/>
      <c r="L7" s="104" t="s">
        <v>208</v>
      </c>
      <c r="M7" s="104"/>
      <c r="N7" s="104"/>
    </row>
    <row r="8" spans="1:14" s="3" customFormat="1" ht="44.25" customHeight="1">
      <c r="A8" s="2"/>
      <c r="B8" s="88">
        <v>3</v>
      </c>
      <c r="C8" s="89" t="s">
        <v>47</v>
      </c>
      <c r="D8" s="89"/>
      <c r="E8" s="4" t="s">
        <v>48</v>
      </c>
      <c r="F8" s="90" t="s">
        <v>49</v>
      </c>
      <c r="G8" s="90"/>
      <c r="H8" s="91" t="s">
        <v>43</v>
      </c>
      <c r="I8" s="91"/>
      <c r="J8" s="91"/>
      <c r="K8" s="91"/>
      <c r="L8" s="92" t="s">
        <v>713</v>
      </c>
      <c r="M8" s="92"/>
      <c r="N8" s="92"/>
    </row>
    <row r="9" spans="1:14" s="3" customFormat="1" ht="55.5" customHeight="1">
      <c r="A9" s="2"/>
      <c r="B9" s="88"/>
      <c r="C9" s="93" t="s">
        <v>167</v>
      </c>
      <c r="D9" s="93"/>
      <c r="E9" s="5" t="s">
        <v>50</v>
      </c>
      <c r="F9" s="94" t="s">
        <v>51</v>
      </c>
      <c r="G9" s="94"/>
      <c r="H9" s="95" t="s">
        <v>52</v>
      </c>
      <c r="I9" s="95"/>
      <c r="J9" s="95"/>
      <c r="K9" s="95"/>
      <c r="L9" s="96" t="s">
        <v>714</v>
      </c>
      <c r="M9" s="96"/>
      <c r="N9" s="96"/>
    </row>
    <row r="10" spans="1:14" s="3" customFormat="1" ht="46.5" customHeight="1">
      <c r="A10" s="2"/>
      <c r="B10" s="88">
        <v>4</v>
      </c>
      <c r="C10" s="105" t="s">
        <v>53</v>
      </c>
      <c r="D10" s="105"/>
      <c r="E10" s="24" t="s">
        <v>54</v>
      </c>
      <c r="F10" s="106" t="s">
        <v>42</v>
      </c>
      <c r="G10" s="106"/>
      <c r="H10" s="107" t="s">
        <v>43</v>
      </c>
      <c r="I10" s="107"/>
      <c r="J10" s="107"/>
      <c r="K10" s="107"/>
      <c r="L10" s="108" t="s">
        <v>209</v>
      </c>
      <c r="M10" s="108"/>
      <c r="N10" s="108"/>
    </row>
    <row r="11" spans="1:14" s="3" customFormat="1" ht="42.75" customHeight="1">
      <c r="A11" s="2"/>
      <c r="B11" s="88"/>
      <c r="C11" s="109" t="s">
        <v>201</v>
      </c>
      <c r="D11" s="109"/>
      <c r="E11" s="25" t="s">
        <v>55</v>
      </c>
      <c r="F11" s="110" t="s">
        <v>45</v>
      </c>
      <c r="G11" s="110"/>
      <c r="H11" s="111" t="s">
        <v>46</v>
      </c>
      <c r="I11" s="111"/>
      <c r="J11" s="111"/>
      <c r="K11" s="111"/>
      <c r="L11" s="112" t="s">
        <v>210</v>
      </c>
      <c r="M11" s="112"/>
      <c r="N11" s="112"/>
    </row>
    <row r="12" spans="1:14" s="3" customFormat="1" ht="44.25" customHeight="1">
      <c r="A12" s="2"/>
      <c r="B12" s="88">
        <v>5</v>
      </c>
      <c r="C12" s="105" t="s">
        <v>56</v>
      </c>
      <c r="D12" s="105"/>
      <c r="E12" s="24" t="s">
        <v>41</v>
      </c>
      <c r="F12" s="113" t="s">
        <v>42</v>
      </c>
      <c r="G12" s="114"/>
      <c r="H12" s="115" t="s">
        <v>43</v>
      </c>
      <c r="I12" s="116"/>
      <c r="J12" s="116"/>
      <c r="K12" s="117"/>
      <c r="L12" s="118" t="s">
        <v>212</v>
      </c>
      <c r="M12" s="119"/>
      <c r="N12" s="120"/>
    </row>
    <row r="13" spans="1:14" s="3" customFormat="1" ht="48.75" customHeight="1">
      <c r="A13" s="2"/>
      <c r="B13" s="88"/>
      <c r="C13" s="109" t="s">
        <v>202</v>
      </c>
      <c r="D13" s="109"/>
      <c r="E13" s="25" t="s">
        <v>44</v>
      </c>
      <c r="F13" s="121" t="s">
        <v>45</v>
      </c>
      <c r="G13" s="122"/>
      <c r="H13" s="123" t="s">
        <v>46</v>
      </c>
      <c r="I13" s="124"/>
      <c r="J13" s="124"/>
      <c r="K13" s="125"/>
      <c r="L13" s="126" t="s">
        <v>211</v>
      </c>
      <c r="M13" s="127"/>
      <c r="N13" s="128"/>
    </row>
    <row r="15" spans="1:14">
      <c r="B15" s="85" t="s">
        <v>57</v>
      </c>
      <c r="C15" s="85"/>
      <c r="D15" s="85"/>
      <c r="E15" s="85"/>
      <c r="F15" s="85"/>
      <c r="G15" s="85"/>
      <c r="H15" s="85"/>
      <c r="I15" s="85"/>
      <c r="J15" s="85"/>
      <c r="K15" s="85"/>
      <c r="L15" s="85"/>
      <c r="M15" s="85"/>
      <c r="N15" s="85"/>
    </row>
    <row r="16" spans="1:14">
      <c r="B16" s="16" t="s">
        <v>58</v>
      </c>
      <c r="C16" s="86" t="s">
        <v>6</v>
      </c>
      <c r="D16" s="86"/>
      <c r="E16" s="17" t="s">
        <v>7</v>
      </c>
      <c r="F16" s="87" t="s">
        <v>59</v>
      </c>
      <c r="G16" s="87"/>
      <c r="H16" s="86" t="s">
        <v>9</v>
      </c>
      <c r="I16" s="86"/>
      <c r="J16" s="86"/>
      <c r="K16" s="86"/>
      <c r="L16" s="86" t="s">
        <v>10</v>
      </c>
      <c r="M16" s="86"/>
      <c r="N16" s="86"/>
    </row>
    <row r="17" spans="2:14" ht="96.75" customHeight="1">
      <c r="B17" s="88">
        <v>1</v>
      </c>
      <c r="C17" s="89" t="s">
        <v>60</v>
      </c>
      <c r="D17" s="89"/>
      <c r="E17" s="4" t="s">
        <v>61</v>
      </c>
      <c r="F17" s="90" t="s">
        <v>42</v>
      </c>
      <c r="G17" s="90"/>
      <c r="H17" s="130" t="s">
        <v>62</v>
      </c>
      <c r="I17" s="130"/>
      <c r="J17" s="130"/>
      <c r="K17" s="130"/>
      <c r="L17" s="92" t="s">
        <v>63</v>
      </c>
      <c r="M17" s="92"/>
      <c r="N17" s="92"/>
    </row>
    <row r="18" spans="2:14" ht="92.25" customHeight="1">
      <c r="B18" s="88"/>
      <c r="C18" s="93" t="s">
        <v>213</v>
      </c>
      <c r="D18" s="93"/>
      <c r="E18" s="5" t="s">
        <v>64</v>
      </c>
      <c r="F18" s="94" t="s">
        <v>45</v>
      </c>
      <c r="G18" s="94"/>
      <c r="H18" s="129" t="s">
        <v>65</v>
      </c>
      <c r="I18" s="129"/>
      <c r="J18" s="129"/>
      <c r="K18" s="129"/>
      <c r="L18" s="96" t="s">
        <v>66</v>
      </c>
      <c r="M18" s="96"/>
      <c r="N18" s="96"/>
    </row>
  </sheetData>
  <mergeCells count="65">
    <mergeCell ref="C18:D18"/>
    <mergeCell ref="F18:G18"/>
    <mergeCell ref="H18:K18"/>
    <mergeCell ref="L18:N18"/>
    <mergeCell ref="B15:N15"/>
    <mergeCell ref="C16:D16"/>
    <mergeCell ref="F16:G16"/>
    <mergeCell ref="H16:K16"/>
    <mergeCell ref="L16:N16"/>
    <mergeCell ref="B17:B18"/>
    <mergeCell ref="C17:D17"/>
    <mergeCell ref="F17:G17"/>
    <mergeCell ref="H17:K17"/>
    <mergeCell ref="L17:N17"/>
    <mergeCell ref="B12:B13"/>
    <mergeCell ref="C12:D12"/>
    <mergeCell ref="F12:G12"/>
    <mergeCell ref="H12:K12"/>
    <mergeCell ref="L12:N12"/>
    <mergeCell ref="C13:D13"/>
    <mergeCell ref="F13:G13"/>
    <mergeCell ref="H13:K13"/>
    <mergeCell ref="L13:N13"/>
    <mergeCell ref="B10:B11"/>
    <mergeCell ref="C10:D10"/>
    <mergeCell ref="F10:G10"/>
    <mergeCell ref="H10:K10"/>
    <mergeCell ref="L10:N10"/>
    <mergeCell ref="C11:D11"/>
    <mergeCell ref="F11:G11"/>
    <mergeCell ref="H11:K11"/>
    <mergeCell ref="L11:N11"/>
    <mergeCell ref="B8:B9"/>
    <mergeCell ref="C8:D8"/>
    <mergeCell ref="F8:G8"/>
    <mergeCell ref="H8:K8"/>
    <mergeCell ref="L8:N8"/>
    <mergeCell ref="C9:D9"/>
    <mergeCell ref="F9:G9"/>
    <mergeCell ref="H9:K9"/>
    <mergeCell ref="L9:N9"/>
    <mergeCell ref="B6:B7"/>
    <mergeCell ref="C6:D6"/>
    <mergeCell ref="F6:G6"/>
    <mergeCell ref="H6:K6"/>
    <mergeCell ref="L6:N6"/>
    <mergeCell ref="C7:D7"/>
    <mergeCell ref="F7:G7"/>
    <mergeCell ref="H7:K7"/>
    <mergeCell ref="L7:N7"/>
    <mergeCell ref="B4:B5"/>
    <mergeCell ref="C4:D4"/>
    <mergeCell ref="F4:G4"/>
    <mergeCell ref="H4:K4"/>
    <mergeCell ref="L4:N4"/>
    <mergeCell ref="C5:D5"/>
    <mergeCell ref="F5:G5"/>
    <mergeCell ref="H5:K5"/>
    <mergeCell ref="L5:N5"/>
    <mergeCell ref="B1:N1"/>
    <mergeCell ref="B2:N2"/>
    <mergeCell ref="C3:D3"/>
    <mergeCell ref="F3:G3"/>
    <mergeCell ref="H3:K3"/>
    <mergeCell ref="L3:N3"/>
  </mergeCells>
  <phoneticPr fontId="1" type="noConversion"/>
  <pageMargins left="0.39370078740157483" right="0.39370078740157483" top="0.74803149606299213" bottom="0.74803149606299213" header="0.31496062992125984" footer="0.31496062992125984"/>
  <pageSetup paperSize="9" scale="61" orientation="landscape" r:id="rId1"/>
  <headerFooter>
    <oddFooter>&amp;C&amp;P/33</oddFooter>
  </headerFooter>
  <colBreaks count="2" manualBreakCount="2">
    <brk id="1" max="1048575" man="1"/>
    <brk id="2" max="1048575"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488"/>
  <sheetViews>
    <sheetView zoomScaleNormal="100" zoomScaleSheetLayoutView="100" workbookViewId="0">
      <pane xSplit="1" ySplit="3" topLeftCell="B7" activePane="bottomRight" state="frozen"/>
      <selection activeCell="F61" sqref="F61:F63"/>
      <selection pane="topRight" activeCell="F61" sqref="F61:F63"/>
      <selection pane="bottomLeft" activeCell="F61" sqref="F61:F63"/>
      <selection pane="bottomRight" activeCell="F61" sqref="F61:F63"/>
    </sheetView>
  </sheetViews>
  <sheetFormatPr defaultColWidth="9" defaultRowHeight="13.15"/>
  <cols>
    <col min="1" max="1" width="5" style="14" customWidth="1"/>
    <col min="2" max="2" width="11" style="15" customWidth="1"/>
    <col min="3" max="3" width="12" style="13" customWidth="1"/>
    <col min="4" max="4" width="27.5" style="11" customWidth="1"/>
    <col min="5" max="5" width="6.625" style="13" customWidth="1"/>
    <col min="6" max="6" width="16" style="11" customWidth="1"/>
    <col min="7" max="7" width="16" style="11" hidden="1" customWidth="1"/>
    <col min="8" max="8" width="10.5" style="12" customWidth="1"/>
    <col min="9" max="9" width="15.125" style="15" customWidth="1"/>
    <col min="10" max="10" width="6" style="13" customWidth="1"/>
    <col min="11" max="11" width="8.1875" style="13" customWidth="1"/>
    <col min="12" max="12" width="4.6875" style="13" customWidth="1"/>
    <col min="13" max="13" width="7.6875" style="13" customWidth="1"/>
    <col min="14" max="14" width="9.5" style="13" customWidth="1"/>
    <col min="15" max="15" width="42.5" style="13" customWidth="1"/>
    <col min="16" max="16" width="32" style="13" customWidth="1"/>
    <col min="17" max="17" width="7.1875" style="13" customWidth="1"/>
    <col min="18" max="18" width="8.875" style="13" customWidth="1"/>
    <col min="19" max="19" width="5.875" style="13" customWidth="1"/>
    <col min="20" max="20" width="15.1875" style="13" customWidth="1"/>
    <col min="21" max="21" width="24.1875" style="56" customWidth="1"/>
    <col min="22" max="22" width="13.1875" style="57" customWidth="1"/>
    <col min="23" max="23" width="8.375" style="57" customWidth="1"/>
    <col min="24" max="24" width="10.5" style="57" customWidth="1"/>
    <col min="25" max="16384" width="9" style="13"/>
  </cols>
  <sheetData>
    <row r="1" spans="1:24" s="11" customFormat="1" ht="39.75" customHeight="1">
      <c r="A1" s="180" t="s">
        <v>717</v>
      </c>
      <c r="B1" s="143" t="s">
        <v>821</v>
      </c>
      <c r="C1" s="169" t="s">
        <v>820</v>
      </c>
      <c r="D1" s="170"/>
      <c r="E1" s="170"/>
      <c r="F1" s="170"/>
      <c r="G1" s="171"/>
      <c r="H1" s="169" t="s">
        <v>806</v>
      </c>
      <c r="I1" s="170"/>
      <c r="J1" s="170"/>
      <c r="K1" s="170"/>
      <c r="L1" s="171"/>
      <c r="M1" s="143" t="s">
        <v>803</v>
      </c>
      <c r="N1" s="143" t="s">
        <v>801</v>
      </c>
      <c r="O1" s="175"/>
      <c r="P1" s="176" t="s">
        <v>802</v>
      </c>
      <c r="Q1" s="143" t="s">
        <v>798</v>
      </c>
      <c r="R1" s="175"/>
      <c r="S1" s="175"/>
      <c r="T1" s="175"/>
      <c r="U1" s="54" t="s">
        <v>792</v>
      </c>
      <c r="V1" s="148" t="s">
        <v>719</v>
      </c>
      <c r="W1" s="148" t="s">
        <v>720</v>
      </c>
      <c r="X1" s="148" t="s">
        <v>721</v>
      </c>
    </row>
    <row r="2" spans="1:24" s="11" customFormat="1" ht="39.75" customHeight="1">
      <c r="A2" s="181"/>
      <c r="B2" s="143"/>
      <c r="C2" s="176" t="s">
        <v>819</v>
      </c>
      <c r="D2" s="143" t="s">
        <v>808</v>
      </c>
      <c r="E2" s="148" t="s">
        <v>809</v>
      </c>
      <c r="F2" s="148" t="s">
        <v>818</v>
      </c>
      <c r="G2" s="59" t="s">
        <v>268</v>
      </c>
      <c r="H2" s="148" t="s">
        <v>807</v>
      </c>
      <c r="I2" s="143" t="s">
        <v>804</v>
      </c>
      <c r="J2" s="143" t="s">
        <v>805</v>
      </c>
      <c r="K2" s="175"/>
      <c r="L2" s="175"/>
      <c r="M2" s="175"/>
      <c r="N2" s="175"/>
      <c r="O2" s="175"/>
      <c r="P2" s="177"/>
      <c r="Q2" s="143" t="s">
        <v>799</v>
      </c>
      <c r="R2" s="175"/>
      <c r="S2" s="175"/>
      <c r="T2" s="143" t="s">
        <v>800</v>
      </c>
      <c r="U2" s="143" t="s">
        <v>722</v>
      </c>
      <c r="V2" s="172"/>
      <c r="W2" s="172"/>
      <c r="X2" s="172"/>
    </row>
    <row r="3" spans="1:24" s="11" customFormat="1" ht="18.75" customHeight="1">
      <c r="A3" s="182"/>
      <c r="B3" s="143"/>
      <c r="C3" s="179"/>
      <c r="D3" s="175"/>
      <c r="E3" s="178"/>
      <c r="F3" s="173"/>
      <c r="G3" s="55" t="s">
        <v>267</v>
      </c>
      <c r="H3" s="173"/>
      <c r="I3" s="175"/>
      <c r="J3" s="54" t="s">
        <v>824</v>
      </c>
      <c r="K3" s="54" t="s">
        <v>825</v>
      </c>
      <c r="L3" s="54" t="s">
        <v>826</v>
      </c>
      <c r="M3" s="175"/>
      <c r="N3" s="175"/>
      <c r="O3" s="175"/>
      <c r="P3" s="178"/>
      <c r="Q3" s="54" t="s">
        <v>824</v>
      </c>
      <c r="R3" s="54" t="s">
        <v>825</v>
      </c>
      <c r="S3" s="54" t="s">
        <v>826</v>
      </c>
      <c r="T3" s="175"/>
      <c r="U3" s="175"/>
      <c r="V3" s="173"/>
      <c r="W3" s="173"/>
      <c r="X3" s="173"/>
    </row>
    <row r="4" spans="1:24" ht="36.75" customHeight="1">
      <c r="A4" s="140">
        <v>1</v>
      </c>
      <c r="B4" s="134" t="s">
        <v>827</v>
      </c>
      <c r="C4" s="143" t="s">
        <v>485</v>
      </c>
      <c r="D4" s="145" t="s">
        <v>589</v>
      </c>
      <c r="E4" s="141" t="s">
        <v>716</v>
      </c>
      <c r="F4" s="145" t="s">
        <v>822</v>
      </c>
      <c r="G4" s="137"/>
      <c r="H4" s="156" t="s">
        <v>590</v>
      </c>
      <c r="I4" s="134" t="s">
        <v>328</v>
      </c>
      <c r="J4" s="134" t="e">
        <f>#REF!</f>
        <v>#REF!</v>
      </c>
      <c r="K4" s="134" t="e">
        <f>#REF!</f>
        <v>#REF!</v>
      </c>
      <c r="L4" s="134" t="e">
        <f>#REF!</f>
        <v>#REF!</v>
      </c>
      <c r="M4" s="134" t="e">
        <f>IF(OR(L4&gt;6), "Non-acceptable","Acceptable")</f>
        <v>#REF!</v>
      </c>
      <c r="N4" s="51" t="s">
        <v>37</v>
      </c>
      <c r="O4" s="48" t="s">
        <v>270</v>
      </c>
      <c r="P4" s="40"/>
      <c r="Q4" s="131" t="e">
        <f>#REF!</f>
        <v>#REF!</v>
      </c>
      <c r="R4" s="131" t="e">
        <f>#REF!</f>
        <v>#REF!</v>
      </c>
      <c r="S4" s="131" t="e">
        <f>#REF!</f>
        <v>#REF!</v>
      </c>
      <c r="T4" s="131" t="e">
        <f>IF(OR(S4&gt;6), "Non-acceptable","Acceptable")</f>
        <v>#REF!</v>
      </c>
      <c r="U4" s="159" t="s">
        <v>723</v>
      </c>
      <c r="V4" s="131" t="s">
        <v>724</v>
      </c>
      <c r="W4" s="131" t="s">
        <v>725</v>
      </c>
      <c r="X4" s="131" t="s">
        <v>726</v>
      </c>
    </row>
    <row r="5" spans="1:24" ht="29.25" customHeight="1">
      <c r="A5" s="141"/>
      <c r="B5" s="134"/>
      <c r="C5" s="141"/>
      <c r="D5" s="154"/>
      <c r="E5" s="141"/>
      <c r="F5" s="154"/>
      <c r="G5" s="138"/>
      <c r="H5" s="157"/>
      <c r="I5" s="134"/>
      <c r="J5" s="134"/>
      <c r="K5" s="134"/>
      <c r="L5" s="134"/>
      <c r="M5" s="134"/>
      <c r="N5" s="51" t="s">
        <v>828</v>
      </c>
      <c r="O5" s="40" t="s">
        <v>272</v>
      </c>
      <c r="P5" s="40"/>
      <c r="Q5" s="132"/>
      <c r="R5" s="132"/>
      <c r="S5" s="132"/>
      <c r="T5" s="132"/>
      <c r="U5" s="160"/>
      <c r="V5" s="132"/>
      <c r="W5" s="132"/>
      <c r="X5" s="132"/>
    </row>
    <row r="6" spans="1:24" ht="154.5" customHeight="1">
      <c r="A6" s="141"/>
      <c r="B6" s="134"/>
      <c r="C6" s="141"/>
      <c r="D6" s="155"/>
      <c r="E6" s="141"/>
      <c r="F6" s="155"/>
      <c r="G6" s="139"/>
      <c r="H6" s="157"/>
      <c r="I6" s="134"/>
      <c r="J6" s="134"/>
      <c r="K6" s="134"/>
      <c r="L6" s="134"/>
      <c r="M6" s="134"/>
      <c r="N6" s="51" t="s">
        <v>39</v>
      </c>
      <c r="O6" s="40" t="s">
        <v>1048</v>
      </c>
      <c r="P6" s="40" t="s">
        <v>1049</v>
      </c>
      <c r="Q6" s="133"/>
      <c r="R6" s="133"/>
      <c r="S6" s="133"/>
      <c r="T6" s="133"/>
      <c r="U6" s="161"/>
      <c r="V6" s="133"/>
      <c r="W6" s="133"/>
      <c r="X6" s="133"/>
    </row>
    <row r="7" spans="1:24" ht="36.75" customHeight="1">
      <c r="A7" s="140">
        <v>2</v>
      </c>
      <c r="B7" s="134" t="s">
        <v>827</v>
      </c>
      <c r="C7" s="134" t="s">
        <v>1047</v>
      </c>
      <c r="D7" s="145" t="s">
        <v>709</v>
      </c>
      <c r="E7" s="141" t="s">
        <v>716</v>
      </c>
      <c r="F7" s="145" t="s">
        <v>709</v>
      </c>
      <c r="G7" s="137"/>
      <c r="H7" s="156" t="s">
        <v>590</v>
      </c>
      <c r="I7" s="134" t="s">
        <v>328</v>
      </c>
      <c r="J7" s="134" t="e">
        <f>#REF!</f>
        <v>#REF!</v>
      </c>
      <c r="K7" s="134" t="e">
        <f>#REF!</f>
        <v>#REF!</v>
      </c>
      <c r="L7" s="134" t="e">
        <f>#REF!</f>
        <v>#REF!</v>
      </c>
      <c r="M7" s="134" t="e">
        <f t="shared" ref="M7" si="0">IF(OR(L7&gt;6), "Non-acceptable","Acceptable")</f>
        <v>#REF!</v>
      </c>
      <c r="N7" s="51" t="s">
        <v>37</v>
      </c>
      <c r="O7" s="48" t="s">
        <v>273</v>
      </c>
      <c r="P7" s="40"/>
      <c r="Q7" s="131" t="e">
        <f>#REF!</f>
        <v>#REF!</v>
      </c>
      <c r="R7" s="131" t="e">
        <f>#REF!</f>
        <v>#REF!</v>
      </c>
      <c r="S7" s="131" t="e">
        <f>#REF!</f>
        <v>#REF!</v>
      </c>
      <c r="T7" s="131" t="e">
        <f t="shared" ref="T7" si="1">IF(OR(S7&gt;6), "Non-acceptable","Acceptable")</f>
        <v>#REF!</v>
      </c>
      <c r="U7" s="159" t="s">
        <v>727</v>
      </c>
      <c r="V7" s="131" t="s">
        <v>724</v>
      </c>
      <c r="W7" s="131" t="s">
        <v>725</v>
      </c>
      <c r="X7" s="131" t="s">
        <v>726</v>
      </c>
    </row>
    <row r="8" spans="1:24" ht="84.75" customHeight="1">
      <c r="A8" s="141"/>
      <c r="B8" s="134"/>
      <c r="C8" s="141"/>
      <c r="D8" s="146"/>
      <c r="E8" s="141"/>
      <c r="F8" s="146"/>
      <c r="G8" s="138"/>
      <c r="H8" s="157"/>
      <c r="I8" s="134"/>
      <c r="J8" s="134"/>
      <c r="K8" s="134"/>
      <c r="L8" s="134"/>
      <c r="M8" s="134"/>
      <c r="N8" s="51" t="s">
        <v>38</v>
      </c>
      <c r="O8" s="40" t="s">
        <v>511</v>
      </c>
      <c r="P8" s="40" t="s">
        <v>510</v>
      </c>
      <c r="Q8" s="132"/>
      <c r="R8" s="132"/>
      <c r="S8" s="132"/>
      <c r="T8" s="132"/>
      <c r="U8" s="160"/>
      <c r="V8" s="132"/>
      <c r="W8" s="132"/>
      <c r="X8" s="132"/>
    </row>
    <row r="9" spans="1:24" ht="230.25" customHeight="1">
      <c r="A9" s="141"/>
      <c r="B9" s="134"/>
      <c r="C9" s="141"/>
      <c r="D9" s="147"/>
      <c r="E9" s="141"/>
      <c r="F9" s="147"/>
      <c r="G9" s="139"/>
      <c r="H9" s="157"/>
      <c r="I9" s="134"/>
      <c r="J9" s="134"/>
      <c r="K9" s="134"/>
      <c r="L9" s="134"/>
      <c r="M9" s="134"/>
      <c r="N9" s="51" t="s">
        <v>39</v>
      </c>
      <c r="O9" s="40" t="s">
        <v>830</v>
      </c>
      <c r="P9" s="40" t="s">
        <v>831</v>
      </c>
      <c r="Q9" s="133"/>
      <c r="R9" s="133"/>
      <c r="S9" s="133"/>
      <c r="T9" s="133"/>
      <c r="U9" s="161"/>
      <c r="V9" s="133"/>
      <c r="W9" s="133"/>
      <c r="X9" s="133"/>
    </row>
    <row r="10" spans="1:24" ht="33.75" customHeight="1">
      <c r="A10" s="140">
        <v>3</v>
      </c>
      <c r="B10" s="134" t="s">
        <v>999</v>
      </c>
      <c r="C10" s="134" t="s">
        <v>829</v>
      </c>
      <c r="D10" s="135" t="s">
        <v>832</v>
      </c>
      <c r="E10" s="141" t="s">
        <v>716</v>
      </c>
      <c r="F10" s="135" t="s">
        <v>832</v>
      </c>
      <c r="G10" s="137"/>
      <c r="H10" s="156" t="s">
        <v>590</v>
      </c>
      <c r="I10" s="134" t="s">
        <v>329</v>
      </c>
      <c r="J10" s="134" t="e">
        <f>#REF!</f>
        <v>#REF!</v>
      </c>
      <c r="K10" s="134" t="e">
        <f>#REF!</f>
        <v>#REF!</v>
      </c>
      <c r="L10" s="134" t="e">
        <f>#REF!</f>
        <v>#REF!</v>
      </c>
      <c r="M10" s="134" t="e">
        <f t="shared" ref="M10" si="2">IF(OR(L10&gt;6), "Non-acceptable","Acceptable")</f>
        <v>#REF!</v>
      </c>
      <c r="N10" s="51" t="s">
        <v>37</v>
      </c>
      <c r="O10" s="48" t="s">
        <v>270</v>
      </c>
      <c r="P10" s="40"/>
      <c r="Q10" s="131" t="e">
        <f>#REF!</f>
        <v>#REF!</v>
      </c>
      <c r="R10" s="131" t="e">
        <f>#REF!</f>
        <v>#REF!</v>
      </c>
      <c r="S10" s="131" t="e">
        <f>#REF!</f>
        <v>#REF!</v>
      </c>
      <c r="T10" s="131" t="e">
        <f t="shared" ref="T10" si="3">IF(OR(S10&gt;6), "Non-acceptable","Acceptable")</f>
        <v>#REF!</v>
      </c>
      <c r="U10" s="159" t="s">
        <v>728</v>
      </c>
      <c r="V10" s="131" t="s">
        <v>724</v>
      </c>
      <c r="W10" s="131" t="s">
        <v>725</v>
      </c>
      <c r="X10" s="131" t="s">
        <v>726</v>
      </c>
    </row>
    <row r="11" spans="1:24" ht="54.75" customHeight="1">
      <c r="A11" s="141"/>
      <c r="B11" s="134"/>
      <c r="C11" s="141"/>
      <c r="D11" s="136"/>
      <c r="E11" s="141"/>
      <c r="F11" s="136"/>
      <c r="G11" s="138"/>
      <c r="H11" s="157"/>
      <c r="I11" s="134"/>
      <c r="J11" s="134"/>
      <c r="K11" s="134"/>
      <c r="L11" s="134"/>
      <c r="M11" s="134"/>
      <c r="N11" s="51" t="s">
        <v>38</v>
      </c>
      <c r="O11" s="40" t="s">
        <v>833</v>
      </c>
      <c r="P11" s="40" t="s">
        <v>834</v>
      </c>
      <c r="Q11" s="132"/>
      <c r="R11" s="132"/>
      <c r="S11" s="132"/>
      <c r="T11" s="132"/>
      <c r="U11" s="160"/>
      <c r="V11" s="132"/>
      <c r="W11" s="132"/>
      <c r="X11" s="132"/>
    </row>
    <row r="12" spans="1:24" ht="185.25" customHeight="1">
      <c r="A12" s="141"/>
      <c r="B12" s="134"/>
      <c r="C12" s="141"/>
      <c r="D12" s="136"/>
      <c r="E12" s="141"/>
      <c r="F12" s="136"/>
      <c r="G12" s="139"/>
      <c r="H12" s="157"/>
      <c r="I12" s="134"/>
      <c r="J12" s="134"/>
      <c r="K12" s="134"/>
      <c r="L12" s="134"/>
      <c r="M12" s="134"/>
      <c r="N12" s="51" t="s">
        <v>39</v>
      </c>
      <c r="O12" s="40" t="s">
        <v>835</v>
      </c>
      <c r="P12" s="40" t="s">
        <v>836</v>
      </c>
      <c r="Q12" s="133"/>
      <c r="R12" s="133"/>
      <c r="S12" s="133"/>
      <c r="T12" s="133"/>
      <c r="U12" s="161"/>
      <c r="V12" s="133"/>
      <c r="W12" s="133"/>
      <c r="X12" s="133"/>
    </row>
    <row r="13" spans="1:24" ht="40.5" customHeight="1">
      <c r="A13" s="140">
        <v>4</v>
      </c>
      <c r="B13" s="131" t="s">
        <v>592</v>
      </c>
      <c r="C13" s="143" t="s">
        <v>485</v>
      </c>
      <c r="D13" s="156" t="s">
        <v>708</v>
      </c>
      <c r="E13" s="141" t="s">
        <v>40</v>
      </c>
      <c r="F13" s="156" t="s">
        <v>708</v>
      </c>
      <c r="G13" s="137"/>
      <c r="H13" s="134" t="s">
        <v>707</v>
      </c>
      <c r="I13" s="134" t="s">
        <v>706</v>
      </c>
      <c r="J13" s="134" t="e">
        <f>#REF!</f>
        <v>#REF!</v>
      </c>
      <c r="K13" s="134" t="e">
        <f>#REF!</f>
        <v>#REF!</v>
      </c>
      <c r="L13" s="134" t="e">
        <f>#REF!</f>
        <v>#REF!</v>
      </c>
      <c r="M13" s="134" t="e">
        <f t="shared" ref="M13" si="4">IF(OR(L13&gt;6), "Non-acceptable","Acceptable")</f>
        <v>#REF!</v>
      </c>
      <c r="N13" s="51" t="s">
        <v>37</v>
      </c>
      <c r="O13" s="48" t="s">
        <v>270</v>
      </c>
      <c r="P13" s="40"/>
      <c r="Q13" s="131" t="e">
        <f>#REF!</f>
        <v>#REF!</v>
      </c>
      <c r="R13" s="131" t="e">
        <f>#REF!</f>
        <v>#REF!</v>
      </c>
      <c r="S13" s="131" t="e">
        <f>#REF!</f>
        <v>#REF!</v>
      </c>
      <c r="T13" s="131" t="e">
        <f t="shared" ref="T13" si="5">IF(OR(S13&gt;6), "Non-acceptable","Acceptable")</f>
        <v>#REF!</v>
      </c>
      <c r="U13" s="159" t="s">
        <v>729</v>
      </c>
      <c r="V13" s="131" t="s">
        <v>793</v>
      </c>
      <c r="W13" s="131" t="s">
        <v>725</v>
      </c>
      <c r="X13" s="131" t="s">
        <v>726</v>
      </c>
    </row>
    <row r="14" spans="1:24" ht="36" customHeight="1">
      <c r="A14" s="141"/>
      <c r="B14" s="132"/>
      <c r="C14" s="141"/>
      <c r="D14" s="157"/>
      <c r="E14" s="141"/>
      <c r="F14" s="157"/>
      <c r="G14" s="138"/>
      <c r="H14" s="134"/>
      <c r="I14" s="158"/>
      <c r="J14" s="134"/>
      <c r="K14" s="134"/>
      <c r="L14" s="134"/>
      <c r="M14" s="134"/>
      <c r="N14" s="51" t="s">
        <v>38</v>
      </c>
      <c r="O14" s="48" t="s">
        <v>508</v>
      </c>
      <c r="P14" s="40"/>
      <c r="Q14" s="132"/>
      <c r="R14" s="132"/>
      <c r="S14" s="132"/>
      <c r="T14" s="132"/>
      <c r="U14" s="160"/>
      <c r="V14" s="132"/>
      <c r="W14" s="132"/>
      <c r="X14" s="132"/>
    </row>
    <row r="15" spans="1:24" ht="179.25" customHeight="1">
      <c r="A15" s="141"/>
      <c r="B15" s="133"/>
      <c r="C15" s="141"/>
      <c r="D15" s="157"/>
      <c r="E15" s="141"/>
      <c r="F15" s="157"/>
      <c r="G15" s="139"/>
      <c r="H15" s="134"/>
      <c r="I15" s="158"/>
      <c r="J15" s="134"/>
      <c r="K15" s="134"/>
      <c r="L15" s="134"/>
      <c r="M15" s="134"/>
      <c r="N15" s="51" t="s">
        <v>39</v>
      </c>
      <c r="O15" s="40" t="s">
        <v>1000</v>
      </c>
      <c r="P15" s="40" t="s">
        <v>837</v>
      </c>
      <c r="Q15" s="133"/>
      <c r="R15" s="133"/>
      <c r="S15" s="133"/>
      <c r="T15" s="133"/>
      <c r="U15" s="161"/>
      <c r="V15" s="133"/>
      <c r="W15" s="133"/>
      <c r="X15" s="133"/>
    </row>
    <row r="16" spans="1:24" ht="44.25" customHeight="1">
      <c r="A16" s="140">
        <v>5</v>
      </c>
      <c r="B16" s="131" t="s">
        <v>592</v>
      </c>
      <c r="C16" s="143" t="s">
        <v>485</v>
      </c>
      <c r="D16" s="156" t="s">
        <v>703</v>
      </c>
      <c r="E16" s="141" t="s">
        <v>40</v>
      </c>
      <c r="F16" s="156" t="s">
        <v>703</v>
      </c>
      <c r="G16" s="137"/>
      <c r="H16" s="134" t="s">
        <v>704</v>
      </c>
      <c r="I16" s="134" t="s">
        <v>705</v>
      </c>
      <c r="J16" s="134" t="e">
        <f>#REF!</f>
        <v>#REF!</v>
      </c>
      <c r="K16" s="134" t="e">
        <f>#REF!</f>
        <v>#REF!</v>
      </c>
      <c r="L16" s="134" t="e">
        <f>#REF!</f>
        <v>#REF!</v>
      </c>
      <c r="M16" s="134" t="e">
        <f t="shared" ref="M16" si="6">IF(OR(L16&gt;6), "Non-acceptable","Acceptable")</f>
        <v>#REF!</v>
      </c>
      <c r="N16" s="51" t="s">
        <v>0</v>
      </c>
      <c r="O16" s="48" t="s">
        <v>270</v>
      </c>
      <c r="P16" s="40"/>
      <c r="Q16" s="131" t="e">
        <f>#REF!</f>
        <v>#REF!</v>
      </c>
      <c r="R16" s="131" t="e">
        <f>#REF!</f>
        <v>#REF!</v>
      </c>
      <c r="S16" s="131" t="e">
        <f>#REF!</f>
        <v>#REF!</v>
      </c>
      <c r="T16" s="131" t="e">
        <f t="shared" ref="T16" si="7">IF(OR(S16&gt;6), "Non-acceptable","Acceptable")</f>
        <v>#REF!</v>
      </c>
      <c r="U16" s="159" t="s">
        <v>729</v>
      </c>
      <c r="V16" s="131" t="s">
        <v>724</v>
      </c>
      <c r="W16" s="131" t="s">
        <v>725</v>
      </c>
      <c r="X16" s="131" t="s">
        <v>726</v>
      </c>
    </row>
    <row r="17" spans="1:24" ht="64.5" customHeight="1">
      <c r="A17" s="141"/>
      <c r="B17" s="132"/>
      <c r="C17" s="141"/>
      <c r="D17" s="157"/>
      <c r="E17" s="141"/>
      <c r="F17" s="157"/>
      <c r="G17" s="138"/>
      <c r="H17" s="134"/>
      <c r="I17" s="158"/>
      <c r="J17" s="134"/>
      <c r="K17" s="134"/>
      <c r="L17" s="134"/>
      <c r="M17" s="134"/>
      <c r="N17" s="51" t="s">
        <v>1</v>
      </c>
      <c r="O17" s="48" t="s">
        <v>272</v>
      </c>
      <c r="P17" s="40"/>
      <c r="Q17" s="132"/>
      <c r="R17" s="132"/>
      <c r="S17" s="132"/>
      <c r="T17" s="132"/>
      <c r="U17" s="160"/>
      <c r="V17" s="132"/>
      <c r="W17" s="132"/>
      <c r="X17" s="132"/>
    </row>
    <row r="18" spans="1:24" ht="162" customHeight="1">
      <c r="A18" s="141"/>
      <c r="B18" s="133"/>
      <c r="C18" s="141"/>
      <c r="D18" s="157"/>
      <c r="E18" s="141"/>
      <c r="F18" s="157"/>
      <c r="G18" s="139"/>
      <c r="H18" s="134"/>
      <c r="I18" s="158"/>
      <c r="J18" s="134"/>
      <c r="K18" s="134"/>
      <c r="L18" s="134"/>
      <c r="M18" s="134"/>
      <c r="N18" s="51" t="s">
        <v>2</v>
      </c>
      <c r="O18" s="40" t="s">
        <v>1001</v>
      </c>
      <c r="P18" s="40" t="s">
        <v>837</v>
      </c>
      <c r="Q18" s="133"/>
      <c r="R18" s="133"/>
      <c r="S18" s="133"/>
      <c r="T18" s="133"/>
      <c r="U18" s="161"/>
      <c r="V18" s="133"/>
      <c r="W18" s="133"/>
      <c r="X18" s="133"/>
    </row>
    <row r="19" spans="1:24" ht="41.25" customHeight="1">
      <c r="A19" s="140">
        <v>6</v>
      </c>
      <c r="B19" s="134" t="s">
        <v>18</v>
      </c>
      <c r="C19" s="134" t="s">
        <v>1002</v>
      </c>
      <c r="D19" s="157" t="s">
        <v>486</v>
      </c>
      <c r="E19" s="141" t="s">
        <v>40</v>
      </c>
      <c r="F19" s="157" t="s">
        <v>486</v>
      </c>
      <c r="G19" s="137"/>
      <c r="H19" s="134" t="s">
        <v>710</v>
      </c>
      <c r="I19" s="134" t="s">
        <v>330</v>
      </c>
      <c r="J19" s="134" t="e">
        <f>#REF!</f>
        <v>#REF!</v>
      </c>
      <c r="K19" s="134" t="e">
        <f>#REF!</f>
        <v>#REF!</v>
      </c>
      <c r="L19" s="134" t="e">
        <f>#REF!</f>
        <v>#REF!</v>
      </c>
      <c r="M19" s="134" t="e">
        <f t="shared" ref="M19" si="8">IF(OR(L19&gt;6), "Non-acceptable","Acceptable")</f>
        <v>#REF!</v>
      </c>
      <c r="N19" s="51" t="s">
        <v>37</v>
      </c>
      <c r="O19" s="48" t="s">
        <v>270</v>
      </c>
      <c r="P19" s="40"/>
      <c r="Q19" s="131" t="e">
        <f>#REF!</f>
        <v>#REF!</v>
      </c>
      <c r="R19" s="131" t="e">
        <f>#REF!</f>
        <v>#REF!</v>
      </c>
      <c r="S19" s="131" t="e">
        <f>#REF!</f>
        <v>#REF!</v>
      </c>
      <c r="T19" s="131" t="e">
        <f t="shared" ref="T19" si="9">IF(OR(S19&gt;6), "Non-acceptable","Acceptable")</f>
        <v>#REF!</v>
      </c>
      <c r="U19" s="159" t="s">
        <v>730</v>
      </c>
      <c r="V19" s="131" t="s">
        <v>724</v>
      </c>
      <c r="W19" s="131" t="s">
        <v>725</v>
      </c>
      <c r="X19" s="131" t="s">
        <v>794</v>
      </c>
    </row>
    <row r="20" spans="1:24" ht="41.25" customHeight="1">
      <c r="A20" s="141"/>
      <c r="B20" s="134"/>
      <c r="C20" s="141"/>
      <c r="D20" s="157"/>
      <c r="E20" s="141"/>
      <c r="F20" s="157"/>
      <c r="G20" s="138"/>
      <c r="H20" s="134"/>
      <c r="I20" s="141"/>
      <c r="J20" s="134"/>
      <c r="K20" s="134"/>
      <c r="L20" s="134"/>
      <c r="M20" s="134"/>
      <c r="N20" s="51" t="s">
        <v>38</v>
      </c>
      <c r="O20" s="48" t="s">
        <v>508</v>
      </c>
      <c r="P20" s="40"/>
      <c r="Q20" s="132"/>
      <c r="R20" s="132"/>
      <c r="S20" s="132"/>
      <c r="T20" s="132"/>
      <c r="U20" s="160"/>
      <c r="V20" s="132"/>
      <c r="W20" s="132"/>
      <c r="X20" s="132"/>
    </row>
    <row r="21" spans="1:24" ht="173.25" customHeight="1">
      <c r="A21" s="141"/>
      <c r="B21" s="134"/>
      <c r="C21" s="141"/>
      <c r="D21" s="157"/>
      <c r="E21" s="141"/>
      <c r="F21" s="157"/>
      <c r="G21" s="139"/>
      <c r="H21" s="134"/>
      <c r="I21" s="141"/>
      <c r="J21" s="134"/>
      <c r="K21" s="134"/>
      <c r="L21" s="134"/>
      <c r="M21" s="134"/>
      <c r="N21" s="51" t="s">
        <v>39</v>
      </c>
      <c r="O21" s="40" t="s">
        <v>838</v>
      </c>
      <c r="P21" s="40" t="s">
        <v>839</v>
      </c>
      <c r="Q21" s="133"/>
      <c r="R21" s="133"/>
      <c r="S21" s="133"/>
      <c r="T21" s="133"/>
      <c r="U21" s="161"/>
      <c r="V21" s="133"/>
      <c r="W21" s="133"/>
      <c r="X21" s="133"/>
    </row>
    <row r="22" spans="1:24" ht="41.25" customHeight="1">
      <c r="A22" s="140">
        <v>7</v>
      </c>
      <c r="B22" s="134" t="s">
        <v>18</v>
      </c>
      <c r="C22" s="143" t="s">
        <v>331</v>
      </c>
      <c r="D22" s="142" t="s">
        <v>711</v>
      </c>
      <c r="E22" s="141" t="s">
        <v>716</v>
      </c>
      <c r="F22" s="142" t="s">
        <v>711</v>
      </c>
      <c r="G22" s="137"/>
      <c r="H22" s="134" t="s">
        <v>710</v>
      </c>
      <c r="I22" s="134" t="s">
        <v>500</v>
      </c>
      <c r="J22" s="134" t="e">
        <f>#REF!</f>
        <v>#REF!</v>
      </c>
      <c r="K22" s="134" t="e">
        <f>#REF!</f>
        <v>#REF!</v>
      </c>
      <c r="L22" s="134" t="e">
        <f>#REF!</f>
        <v>#REF!</v>
      </c>
      <c r="M22" s="134" t="e">
        <f t="shared" ref="M22" si="10">IF(OR(L22&gt;6), "Non-acceptable","Acceptable")</f>
        <v>#REF!</v>
      </c>
      <c r="N22" s="51" t="s">
        <v>37</v>
      </c>
      <c r="O22" s="48" t="s">
        <v>274</v>
      </c>
      <c r="P22" s="40"/>
      <c r="Q22" s="131" t="e">
        <f>#REF!</f>
        <v>#REF!</v>
      </c>
      <c r="R22" s="131" t="e">
        <f>#REF!</f>
        <v>#REF!</v>
      </c>
      <c r="S22" s="131" t="e">
        <f>#REF!</f>
        <v>#REF!</v>
      </c>
      <c r="T22" s="131" t="e">
        <f t="shared" ref="T22" si="11">IF(OR(S22&gt;6), "Non-acceptable","Acceptable")</f>
        <v>#REF!</v>
      </c>
      <c r="U22" s="159" t="s">
        <v>730</v>
      </c>
      <c r="V22" s="131" t="s">
        <v>724</v>
      </c>
      <c r="W22" s="131" t="s">
        <v>725</v>
      </c>
      <c r="X22" s="131" t="s">
        <v>726</v>
      </c>
    </row>
    <row r="23" spans="1:24" ht="64.5" customHeight="1">
      <c r="A23" s="141"/>
      <c r="B23" s="134"/>
      <c r="C23" s="141"/>
      <c r="D23" s="134"/>
      <c r="E23" s="141"/>
      <c r="F23" s="134"/>
      <c r="G23" s="138"/>
      <c r="H23" s="134"/>
      <c r="I23" s="141"/>
      <c r="J23" s="134"/>
      <c r="K23" s="134"/>
      <c r="L23" s="134"/>
      <c r="M23" s="134"/>
      <c r="N23" s="51" t="s">
        <v>38</v>
      </c>
      <c r="O23" s="40" t="s">
        <v>416</v>
      </c>
      <c r="P23" s="40" t="s">
        <v>512</v>
      </c>
      <c r="Q23" s="132"/>
      <c r="R23" s="132"/>
      <c r="S23" s="132"/>
      <c r="T23" s="132"/>
      <c r="U23" s="160"/>
      <c r="V23" s="132"/>
      <c r="W23" s="132"/>
      <c r="X23" s="132"/>
    </row>
    <row r="24" spans="1:24" ht="171.75" customHeight="1">
      <c r="A24" s="141"/>
      <c r="B24" s="134"/>
      <c r="C24" s="141"/>
      <c r="D24" s="134"/>
      <c r="E24" s="141"/>
      <c r="F24" s="134"/>
      <c r="G24" s="139"/>
      <c r="H24" s="134"/>
      <c r="I24" s="141"/>
      <c r="J24" s="134"/>
      <c r="K24" s="134"/>
      <c r="L24" s="134"/>
      <c r="M24" s="134"/>
      <c r="N24" s="51" t="s">
        <v>39</v>
      </c>
      <c r="O24" s="40" t="s">
        <v>838</v>
      </c>
      <c r="P24" s="40" t="s">
        <v>839</v>
      </c>
      <c r="Q24" s="133"/>
      <c r="R24" s="133"/>
      <c r="S24" s="133"/>
      <c r="T24" s="133"/>
      <c r="U24" s="161"/>
      <c r="V24" s="133"/>
      <c r="W24" s="133"/>
      <c r="X24" s="133"/>
    </row>
    <row r="25" spans="1:24" ht="47.25" customHeight="1">
      <c r="A25" s="140">
        <v>8</v>
      </c>
      <c r="B25" s="134" t="s">
        <v>840</v>
      </c>
      <c r="C25" s="134" t="s">
        <v>1002</v>
      </c>
      <c r="D25" s="136" t="s">
        <v>841</v>
      </c>
      <c r="E25" s="141" t="s">
        <v>40</v>
      </c>
      <c r="F25" s="136" t="s">
        <v>841</v>
      </c>
      <c r="G25" s="137"/>
      <c r="H25" s="136" t="s">
        <v>842</v>
      </c>
      <c r="I25" s="134" t="s">
        <v>502</v>
      </c>
      <c r="J25" s="134" t="e">
        <f>#REF!</f>
        <v>#REF!</v>
      </c>
      <c r="K25" s="134" t="e">
        <f>#REF!</f>
        <v>#REF!</v>
      </c>
      <c r="L25" s="134" t="e">
        <f>#REF!</f>
        <v>#REF!</v>
      </c>
      <c r="M25" s="134" t="e">
        <f t="shared" ref="M25" si="12">IF(OR(L25&gt;6), "Non-acceptable","Acceptable")</f>
        <v>#REF!</v>
      </c>
      <c r="N25" s="51" t="s">
        <v>37</v>
      </c>
      <c r="O25" s="48" t="s">
        <v>270</v>
      </c>
      <c r="P25" s="40"/>
      <c r="Q25" s="131" t="e">
        <f>#REF!</f>
        <v>#REF!</v>
      </c>
      <c r="R25" s="131" t="e">
        <f>#REF!</f>
        <v>#REF!</v>
      </c>
      <c r="S25" s="131" t="e">
        <f>#REF!</f>
        <v>#REF!</v>
      </c>
      <c r="T25" s="131" t="e">
        <f t="shared" ref="T25" si="13">IF(OR(S25&gt;6), "Non-acceptable","Acceptable")</f>
        <v>#REF!</v>
      </c>
      <c r="U25" s="159" t="s">
        <v>731</v>
      </c>
      <c r="V25" s="131" t="s">
        <v>724</v>
      </c>
      <c r="W25" s="131" t="s">
        <v>725</v>
      </c>
      <c r="X25" s="131" t="s">
        <v>794</v>
      </c>
    </row>
    <row r="26" spans="1:24" ht="40.5" customHeight="1">
      <c r="A26" s="141"/>
      <c r="B26" s="134"/>
      <c r="C26" s="141"/>
      <c r="D26" s="136"/>
      <c r="E26" s="141"/>
      <c r="F26" s="136"/>
      <c r="G26" s="138"/>
      <c r="H26" s="136"/>
      <c r="I26" s="134"/>
      <c r="J26" s="134"/>
      <c r="K26" s="134"/>
      <c r="L26" s="134"/>
      <c r="M26" s="134"/>
      <c r="N26" s="51" t="s">
        <v>38</v>
      </c>
      <c r="O26" s="48" t="s">
        <v>508</v>
      </c>
      <c r="P26" s="40"/>
      <c r="Q26" s="132"/>
      <c r="R26" s="132"/>
      <c r="S26" s="132"/>
      <c r="T26" s="132"/>
      <c r="U26" s="160"/>
      <c r="V26" s="132"/>
      <c r="W26" s="132"/>
      <c r="X26" s="132"/>
    </row>
    <row r="27" spans="1:24" ht="120.75" customHeight="1">
      <c r="A27" s="141"/>
      <c r="B27" s="134"/>
      <c r="C27" s="141"/>
      <c r="D27" s="136"/>
      <c r="E27" s="141"/>
      <c r="F27" s="136"/>
      <c r="G27" s="139"/>
      <c r="H27" s="136"/>
      <c r="I27" s="134"/>
      <c r="J27" s="134"/>
      <c r="K27" s="134"/>
      <c r="L27" s="134"/>
      <c r="M27" s="134"/>
      <c r="N27" s="51" t="s">
        <v>39</v>
      </c>
      <c r="O27" s="40" t="s">
        <v>843</v>
      </c>
      <c r="P27" s="40" t="s">
        <v>844</v>
      </c>
      <c r="Q27" s="133"/>
      <c r="R27" s="133"/>
      <c r="S27" s="133"/>
      <c r="T27" s="133"/>
      <c r="U27" s="161"/>
      <c r="V27" s="133"/>
      <c r="W27" s="133"/>
      <c r="X27" s="133"/>
    </row>
    <row r="28" spans="1:24" ht="43.5" customHeight="1">
      <c r="A28" s="140">
        <v>9</v>
      </c>
      <c r="B28" s="134" t="s">
        <v>840</v>
      </c>
      <c r="C28" s="134" t="s">
        <v>1002</v>
      </c>
      <c r="D28" s="136" t="s">
        <v>841</v>
      </c>
      <c r="E28" s="141" t="s">
        <v>40</v>
      </c>
      <c r="F28" s="136" t="s">
        <v>841</v>
      </c>
      <c r="G28" s="137"/>
      <c r="H28" s="136" t="s">
        <v>845</v>
      </c>
      <c r="I28" s="134" t="s">
        <v>501</v>
      </c>
      <c r="J28" s="134" t="e">
        <f>#REF!</f>
        <v>#REF!</v>
      </c>
      <c r="K28" s="134" t="e">
        <f>#REF!</f>
        <v>#REF!</v>
      </c>
      <c r="L28" s="134" t="e">
        <f>#REF!</f>
        <v>#REF!</v>
      </c>
      <c r="M28" s="134" t="e">
        <f t="shared" ref="M28" si="14">IF(OR(L28&gt;6), "Non-acceptable","Acceptable")</f>
        <v>#REF!</v>
      </c>
      <c r="N28" s="51" t="s">
        <v>37</v>
      </c>
      <c r="O28" s="48" t="s">
        <v>509</v>
      </c>
      <c r="P28" s="40"/>
      <c r="Q28" s="131" t="e">
        <f>#REF!</f>
        <v>#REF!</v>
      </c>
      <c r="R28" s="131" t="e">
        <f>#REF!</f>
        <v>#REF!</v>
      </c>
      <c r="S28" s="131" t="e">
        <f>#REF!</f>
        <v>#REF!</v>
      </c>
      <c r="T28" s="131" t="e">
        <f t="shared" ref="T28" si="15">IF(OR(S28&gt;6), "Non-acceptable","Acceptable")</f>
        <v>#REF!</v>
      </c>
      <c r="U28" s="150" t="s">
        <v>732</v>
      </c>
      <c r="V28" s="131" t="s">
        <v>724</v>
      </c>
      <c r="W28" s="131" t="s">
        <v>725</v>
      </c>
      <c r="X28" s="131" t="s">
        <v>726</v>
      </c>
    </row>
    <row r="29" spans="1:24" ht="43.5" customHeight="1">
      <c r="A29" s="141"/>
      <c r="B29" s="134"/>
      <c r="C29" s="141"/>
      <c r="D29" s="136"/>
      <c r="E29" s="141"/>
      <c r="F29" s="136"/>
      <c r="G29" s="138"/>
      <c r="H29" s="136"/>
      <c r="I29" s="134"/>
      <c r="J29" s="134"/>
      <c r="K29" s="134"/>
      <c r="L29" s="134"/>
      <c r="M29" s="134"/>
      <c r="N29" s="51" t="s">
        <v>38</v>
      </c>
      <c r="O29" s="48" t="s">
        <v>271</v>
      </c>
      <c r="P29" s="40"/>
      <c r="Q29" s="132"/>
      <c r="R29" s="132"/>
      <c r="S29" s="132"/>
      <c r="T29" s="132"/>
      <c r="U29" s="160"/>
      <c r="V29" s="132"/>
      <c r="W29" s="132"/>
      <c r="X29" s="132"/>
    </row>
    <row r="30" spans="1:24" ht="113.25" customHeight="1">
      <c r="A30" s="141"/>
      <c r="B30" s="134"/>
      <c r="C30" s="141"/>
      <c r="D30" s="136"/>
      <c r="E30" s="141"/>
      <c r="F30" s="136"/>
      <c r="G30" s="139"/>
      <c r="H30" s="136"/>
      <c r="I30" s="134"/>
      <c r="J30" s="134"/>
      <c r="K30" s="134"/>
      <c r="L30" s="134"/>
      <c r="M30" s="134"/>
      <c r="N30" s="51" t="s">
        <v>39</v>
      </c>
      <c r="O30" s="40" t="s">
        <v>846</v>
      </c>
      <c r="P30" s="40" t="s">
        <v>844</v>
      </c>
      <c r="Q30" s="133"/>
      <c r="R30" s="133"/>
      <c r="S30" s="133"/>
      <c r="T30" s="133"/>
      <c r="U30" s="161"/>
      <c r="V30" s="133"/>
      <c r="W30" s="133"/>
      <c r="X30" s="133"/>
    </row>
    <row r="31" spans="1:24" ht="44.25" customHeight="1">
      <c r="A31" s="140">
        <v>10</v>
      </c>
      <c r="B31" s="134" t="s">
        <v>840</v>
      </c>
      <c r="C31" s="134" t="s">
        <v>428</v>
      </c>
      <c r="D31" s="136" t="s">
        <v>847</v>
      </c>
      <c r="E31" s="141" t="s">
        <v>716</v>
      </c>
      <c r="F31" s="136" t="s">
        <v>847</v>
      </c>
      <c r="G31" s="137"/>
      <c r="H31" s="136" t="s">
        <v>842</v>
      </c>
      <c r="I31" s="134" t="s">
        <v>333</v>
      </c>
      <c r="J31" s="134" t="e">
        <f>#REF!</f>
        <v>#REF!</v>
      </c>
      <c r="K31" s="134" t="e">
        <f>#REF!</f>
        <v>#REF!</v>
      </c>
      <c r="L31" s="134" t="e">
        <f>#REF!</f>
        <v>#REF!</v>
      </c>
      <c r="M31" s="134" t="e">
        <f t="shared" ref="M31" si="16">IF(OR(L31&gt;6), "Non-acceptable","Acceptable")</f>
        <v>#REF!</v>
      </c>
      <c r="N31" s="51" t="s">
        <v>37</v>
      </c>
      <c r="O31" s="48" t="s">
        <v>274</v>
      </c>
      <c r="P31" s="40"/>
      <c r="Q31" s="131" t="e">
        <f>#REF!</f>
        <v>#REF!</v>
      </c>
      <c r="R31" s="131" t="e">
        <f>#REF!</f>
        <v>#REF!</v>
      </c>
      <c r="S31" s="131" t="e">
        <f>#REF!</f>
        <v>#REF!</v>
      </c>
      <c r="T31" s="131" t="e">
        <f t="shared" ref="T31" si="17">IF(OR(S31&gt;6), "Non-acceptable","Acceptable")</f>
        <v>#REF!</v>
      </c>
      <c r="U31" s="159" t="s">
        <v>718</v>
      </c>
      <c r="V31" s="131" t="s">
        <v>724</v>
      </c>
      <c r="W31" s="131" t="s">
        <v>725</v>
      </c>
      <c r="X31" s="131" t="s">
        <v>726</v>
      </c>
    </row>
    <row r="32" spans="1:24" ht="72.75" customHeight="1">
      <c r="A32" s="141"/>
      <c r="B32" s="134"/>
      <c r="C32" s="141"/>
      <c r="D32" s="136"/>
      <c r="E32" s="141"/>
      <c r="F32" s="136"/>
      <c r="G32" s="138"/>
      <c r="H32" s="136"/>
      <c r="I32" s="134"/>
      <c r="J32" s="134"/>
      <c r="K32" s="134"/>
      <c r="L32" s="134"/>
      <c r="M32" s="134"/>
      <c r="N32" s="51" t="s">
        <v>38</v>
      </c>
      <c r="O32" s="40" t="s">
        <v>334</v>
      </c>
      <c r="P32" s="40" t="s">
        <v>313</v>
      </c>
      <c r="Q32" s="132"/>
      <c r="R32" s="132"/>
      <c r="S32" s="132"/>
      <c r="T32" s="132"/>
      <c r="U32" s="160"/>
      <c r="V32" s="132"/>
      <c r="W32" s="132"/>
      <c r="X32" s="132"/>
    </row>
    <row r="33" spans="1:24" ht="112.5" customHeight="1">
      <c r="A33" s="141"/>
      <c r="B33" s="134"/>
      <c r="C33" s="141"/>
      <c r="D33" s="136"/>
      <c r="E33" s="141"/>
      <c r="F33" s="136"/>
      <c r="G33" s="139"/>
      <c r="H33" s="136"/>
      <c r="I33" s="134"/>
      <c r="J33" s="134"/>
      <c r="K33" s="134"/>
      <c r="L33" s="134"/>
      <c r="M33" s="134"/>
      <c r="N33" s="51" t="s">
        <v>39</v>
      </c>
      <c r="O33" s="40" t="s">
        <v>846</v>
      </c>
      <c r="P33" s="40" t="s">
        <v>844</v>
      </c>
      <c r="Q33" s="133"/>
      <c r="R33" s="133"/>
      <c r="S33" s="133"/>
      <c r="T33" s="133"/>
      <c r="U33" s="161"/>
      <c r="V33" s="133"/>
      <c r="W33" s="133"/>
      <c r="X33" s="133"/>
    </row>
    <row r="34" spans="1:24" ht="36" customHeight="1">
      <c r="A34" s="140">
        <v>11</v>
      </c>
      <c r="B34" s="134" t="s">
        <v>840</v>
      </c>
      <c r="C34" s="134" t="s">
        <v>428</v>
      </c>
      <c r="D34" s="136" t="s">
        <v>847</v>
      </c>
      <c r="E34" s="141" t="s">
        <v>716</v>
      </c>
      <c r="F34" s="136" t="s">
        <v>847</v>
      </c>
      <c r="G34" s="137"/>
      <c r="H34" s="136" t="s">
        <v>845</v>
      </c>
      <c r="I34" s="134" t="s">
        <v>332</v>
      </c>
      <c r="J34" s="134" t="e">
        <f>#REF!</f>
        <v>#REF!</v>
      </c>
      <c r="K34" s="134" t="e">
        <f>#REF!</f>
        <v>#REF!</v>
      </c>
      <c r="L34" s="134" t="e">
        <f>#REF!</f>
        <v>#REF!</v>
      </c>
      <c r="M34" s="134" t="e">
        <f t="shared" ref="M34" si="18">IF(OR(L34&gt;6), "Non-acceptable","Acceptable")</f>
        <v>#REF!</v>
      </c>
      <c r="N34" s="51" t="s">
        <v>37</v>
      </c>
      <c r="O34" s="48" t="s">
        <v>274</v>
      </c>
      <c r="P34" s="40"/>
      <c r="Q34" s="131" t="e">
        <f>#REF!</f>
        <v>#REF!</v>
      </c>
      <c r="R34" s="131" t="e">
        <f>#REF!</f>
        <v>#REF!</v>
      </c>
      <c r="S34" s="131" t="e">
        <f>#REF!</f>
        <v>#REF!</v>
      </c>
      <c r="T34" s="131" t="e">
        <f t="shared" ref="T34" si="19">IF(OR(S34&gt;6), "Non-acceptable","Acceptable")</f>
        <v>#REF!</v>
      </c>
      <c r="U34" s="150" t="s">
        <v>732</v>
      </c>
      <c r="V34" s="131" t="s">
        <v>724</v>
      </c>
      <c r="W34" s="131" t="s">
        <v>725</v>
      </c>
      <c r="X34" s="131" t="s">
        <v>726</v>
      </c>
    </row>
    <row r="35" spans="1:24" ht="78.75">
      <c r="A35" s="141"/>
      <c r="B35" s="134"/>
      <c r="C35" s="141"/>
      <c r="D35" s="136"/>
      <c r="E35" s="141"/>
      <c r="F35" s="136"/>
      <c r="G35" s="138"/>
      <c r="H35" s="136"/>
      <c r="I35" s="134"/>
      <c r="J35" s="134"/>
      <c r="K35" s="134"/>
      <c r="L35" s="134"/>
      <c r="M35" s="134"/>
      <c r="N35" s="51" t="s">
        <v>38</v>
      </c>
      <c r="O35" s="40" t="s">
        <v>334</v>
      </c>
      <c r="P35" s="40" t="s">
        <v>335</v>
      </c>
      <c r="Q35" s="132"/>
      <c r="R35" s="132"/>
      <c r="S35" s="132"/>
      <c r="T35" s="132"/>
      <c r="U35" s="160"/>
      <c r="V35" s="132"/>
      <c r="W35" s="132"/>
      <c r="X35" s="132"/>
    </row>
    <row r="36" spans="1:24" ht="111.75" customHeight="1">
      <c r="A36" s="141"/>
      <c r="B36" s="134"/>
      <c r="C36" s="141"/>
      <c r="D36" s="136"/>
      <c r="E36" s="141"/>
      <c r="F36" s="136"/>
      <c r="G36" s="139"/>
      <c r="H36" s="136"/>
      <c r="I36" s="134"/>
      <c r="J36" s="134"/>
      <c r="K36" s="134"/>
      <c r="L36" s="134"/>
      <c r="M36" s="134"/>
      <c r="N36" s="51" t="s">
        <v>39</v>
      </c>
      <c r="O36" s="40" t="s">
        <v>846</v>
      </c>
      <c r="P36" s="40" t="s">
        <v>844</v>
      </c>
      <c r="Q36" s="133"/>
      <c r="R36" s="133"/>
      <c r="S36" s="133"/>
      <c r="T36" s="133"/>
      <c r="U36" s="161"/>
      <c r="V36" s="133"/>
      <c r="W36" s="133"/>
      <c r="X36" s="133"/>
    </row>
    <row r="37" spans="1:24" ht="39" customHeight="1">
      <c r="A37" s="140">
        <v>12</v>
      </c>
      <c r="B37" s="134" t="s">
        <v>514</v>
      </c>
      <c r="C37" s="143" t="s">
        <v>1003</v>
      </c>
      <c r="D37" s="142" t="s">
        <v>594</v>
      </c>
      <c r="E37" s="141" t="s">
        <v>40</v>
      </c>
      <c r="F37" s="142" t="s">
        <v>594</v>
      </c>
      <c r="G37" s="137"/>
      <c r="H37" s="135" t="s">
        <v>595</v>
      </c>
      <c r="I37" s="134" t="s">
        <v>419</v>
      </c>
      <c r="J37" s="134" t="e">
        <f>#REF!</f>
        <v>#REF!</v>
      </c>
      <c r="K37" s="134" t="e">
        <f>#REF!</f>
        <v>#REF!</v>
      </c>
      <c r="L37" s="134" t="e">
        <f>#REF!</f>
        <v>#REF!</v>
      </c>
      <c r="M37" s="134" t="e">
        <f t="shared" ref="M37" si="20">IF(OR(L37&gt;6), "Non-acceptable","Acceptable")</f>
        <v>#REF!</v>
      </c>
      <c r="N37" s="51" t="s">
        <v>37</v>
      </c>
      <c r="O37" s="48" t="s">
        <v>270</v>
      </c>
      <c r="P37" s="40"/>
      <c r="Q37" s="131" t="e">
        <f>#REF!</f>
        <v>#REF!</v>
      </c>
      <c r="R37" s="131" t="e">
        <f>#REF!</f>
        <v>#REF!</v>
      </c>
      <c r="S37" s="131" t="e">
        <f>#REF!</f>
        <v>#REF!</v>
      </c>
      <c r="T37" s="131" t="e">
        <f t="shared" ref="T37" si="21">IF(OR(S37&gt;6), "Non-acceptable","Acceptable")</f>
        <v>#REF!</v>
      </c>
      <c r="U37" s="159" t="s">
        <v>733</v>
      </c>
      <c r="V37" s="131" t="s">
        <v>724</v>
      </c>
      <c r="W37" s="131" t="s">
        <v>725</v>
      </c>
      <c r="X37" s="131" t="s">
        <v>726</v>
      </c>
    </row>
    <row r="38" spans="1:24" ht="31.5" customHeight="1">
      <c r="A38" s="141"/>
      <c r="B38" s="134"/>
      <c r="C38" s="141"/>
      <c r="D38" s="134"/>
      <c r="E38" s="141"/>
      <c r="F38" s="134"/>
      <c r="G38" s="138"/>
      <c r="H38" s="136"/>
      <c r="I38" s="134"/>
      <c r="J38" s="134"/>
      <c r="K38" s="134"/>
      <c r="L38" s="134"/>
      <c r="M38" s="134"/>
      <c r="N38" s="51" t="s">
        <v>38</v>
      </c>
      <c r="O38" s="48" t="s">
        <v>420</v>
      </c>
      <c r="P38" s="40"/>
      <c r="Q38" s="132"/>
      <c r="R38" s="132"/>
      <c r="S38" s="132"/>
      <c r="T38" s="132"/>
      <c r="U38" s="160"/>
      <c r="V38" s="132"/>
      <c r="W38" s="132"/>
      <c r="X38" s="132"/>
    </row>
    <row r="39" spans="1:24" ht="146.25" customHeight="1">
      <c r="A39" s="141"/>
      <c r="B39" s="134"/>
      <c r="C39" s="141"/>
      <c r="D39" s="134"/>
      <c r="E39" s="141"/>
      <c r="F39" s="134"/>
      <c r="G39" s="139"/>
      <c r="H39" s="136"/>
      <c r="I39" s="134"/>
      <c r="J39" s="134"/>
      <c r="K39" s="134"/>
      <c r="L39" s="134"/>
      <c r="M39" s="134"/>
      <c r="N39" s="51" t="s">
        <v>39</v>
      </c>
      <c r="O39" s="40" t="s">
        <v>848</v>
      </c>
      <c r="P39" s="40" t="s">
        <v>849</v>
      </c>
      <c r="Q39" s="133"/>
      <c r="R39" s="133"/>
      <c r="S39" s="133"/>
      <c r="T39" s="133"/>
      <c r="U39" s="161"/>
      <c r="V39" s="133"/>
      <c r="W39" s="133"/>
      <c r="X39" s="133"/>
    </row>
    <row r="40" spans="1:24" ht="38.25" customHeight="1">
      <c r="A40" s="140">
        <v>13</v>
      </c>
      <c r="B40" s="134" t="s">
        <v>514</v>
      </c>
      <c r="C40" s="143" t="s">
        <v>1003</v>
      </c>
      <c r="D40" s="142" t="s">
        <v>594</v>
      </c>
      <c r="E40" s="141" t="s">
        <v>40</v>
      </c>
      <c r="F40" s="142" t="s">
        <v>594</v>
      </c>
      <c r="G40" s="137"/>
      <c r="H40" s="135" t="s">
        <v>693</v>
      </c>
      <c r="I40" s="134" t="s">
        <v>417</v>
      </c>
      <c r="J40" s="134" t="e">
        <f>#REF!</f>
        <v>#REF!</v>
      </c>
      <c r="K40" s="134" t="e">
        <f>#REF!</f>
        <v>#REF!</v>
      </c>
      <c r="L40" s="134" t="e">
        <f>#REF!</f>
        <v>#REF!</v>
      </c>
      <c r="M40" s="134" t="e">
        <f t="shared" ref="M40" si="22">IF(OR(L40&gt;6), "Non-acceptable","Acceptable")</f>
        <v>#REF!</v>
      </c>
      <c r="N40" s="51" t="s">
        <v>37</v>
      </c>
      <c r="O40" s="48" t="s">
        <v>421</v>
      </c>
      <c r="P40" s="40"/>
      <c r="Q40" s="131" t="e">
        <f>#REF!</f>
        <v>#REF!</v>
      </c>
      <c r="R40" s="131" t="e">
        <f>#REF!</f>
        <v>#REF!</v>
      </c>
      <c r="S40" s="131" t="e">
        <f>#REF!</f>
        <v>#REF!</v>
      </c>
      <c r="T40" s="131" t="e">
        <f t="shared" ref="T40" si="23">IF(OR(S40&gt;6), "Non-acceptable","Acceptable")</f>
        <v>#REF!</v>
      </c>
      <c r="U40" s="150" t="s">
        <v>734</v>
      </c>
      <c r="V40" s="131" t="s">
        <v>724</v>
      </c>
      <c r="W40" s="131" t="s">
        <v>725</v>
      </c>
      <c r="X40" s="131" t="s">
        <v>726</v>
      </c>
    </row>
    <row r="41" spans="1:24" ht="31.5" customHeight="1">
      <c r="A41" s="141"/>
      <c r="B41" s="134"/>
      <c r="C41" s="141"/>
      <c r="D41" s="134"/>
      <c r="E41" s="141"/>
      <c r="F41" s="134"/>
      <c r="G41" s="138"/>
      <c r="H41" s="136"/>
      <c r="I41" s="134"/>
      <c r="J41" s="134"/>
      <c r="K41" s="134"/>
      <c r="L41" s="134"/>
      <c r="M41" s="134"/>
      <c r="N41" s="51" t="s">
        <v>38</v>
      </c>
      <c r="O41" s="48" t="s">
        <v>420</v>
      </c>
      <c r="P41" s="40"/>
      <c r="Q41" s="132"/>
      <c r="R41" s="132"/>
      <c r="S41" s="132"/>
      <c r="T41" s="132"/>
      <c r="U41" s="160"/>
      <c r="V41" s="132"/>
      <c r="W41" s="132"/>
      <c r="X41" s="132"/>
    </row>
    <row r="42" spans="1:24" ht="143.25" customHeight="1">
      <c r="A42" s="141"/>
      <c r="B42" s="134"/>
      <c r="C42" s="141"/>
      <c r="D42" s="134"/>
      <c r="E42" s="141"/>
      <c r="F42" s="134"/>
      <c r="G42" s="139"/>
      <c r="H42" s="136"/>
      <c r="I42" s="134"/>
      <c r="J42" s="134"/>
      <c r="K42" s="134"/>
      <c r="L42" s="134"/>
      <c r="M42" s="134"/>
      <c r="N42" s="51" t="s">
        <v>39</v>
      </c>
      <c r="O42" s="40" t="s">
        <v>848</v>
      </c>
      <c r="P42" s="40" t="s">
        <v>849</v>
      </c>
      <c r="Q42" s="133"/>
      <c r="R42" s="133"/>
      <c r="S42" s="133"/>
      <c r="T42" s="133"/>
      <c r="U42" s="161"/>
      <c r="V42" s="133"/>
      <c r="W42" s="133"/>
      <c r="X42" s="133"/>
    </row>
    <row r="43" spans="1:24" ht="35.25" customHeight="1">
      <c r="A43" s="140">
        <v>14</v>
      </c>
      <c r="B43" s="134" t="s">
        <v>513</v>
      </c>
      <c r="C43" s="134" t="s">
        <v>1004</v>
      </c>
      <c r="D43" s="135" t="s">
        <v>596</v>
      </c>
      <c r="E43" s="141" t="s">
        <v>40</v>
      </c>
      <c r="F43" s="135" t="s">
        <v>596</v>
      </c>
      <c r="G43" s="137"/>
      <c r="H43" s="156" t="s">
        <v>597</v>
      </c>
      <c r="I43" s="159" t="s">
        <v>303</v>
      </c>
      <c r="J43" s="134" t="e">
        <f>#REF!</f>
        <v>#REF!</v>
      </c>
      <c r="K43" s="134" t="e">
        <f>#REF!</f>
        <v>#REF!</v>
      </c>
      <c r="L43" s="134" t="e">
        <f>#REF!</f>
        <v>#REF!</v>
      </c>
      <c r="M43" s="134" t="e">
        <f t="shared" ref="M43" si="24">IF(OR(L43&gt;6), "Non-acceptable","Acceptable")</f>
        <v>#REF!</v>
      </c>
      <c r="N43" s="51" t="s">
        <v>37</v>
      </c>
      <c r="O43" s="48" t="s">
        <v>298</v>
      </c>
      <c r="P43" s="20"/>
      <c r="Q43" s="131" t="e">
        <f>#REF!</f>
        <v>#REF!</v>
      </c>
      <c r="R43" s="131" t="e">
        <f>#REF!</f>
        <v>#REF!</v>
      </c>
      <c r="S43" s="131" t="e">
        <f>#REF!</f>
        <v>#REF!</v>
      </c>
      <c r="T43" s="131" t="e">
        <f t="shared" ref="T43" si="25">IF(OR(S43&gt;6), "Non-acceptable","Acceptable")</f>
        <v>#REF!</v>
      </c>
      <c r="U43" s="159" t="s">
        <v>735</v>
      </c>
      <c r="V43" s="131" t="s">
        <v>724</v>
      </c>
      <c r="W43" s="131" t="s">
        <v>725</v>
      </c>
      <c r="X43" s="131" t="s">
        <v>726</v>
      </c>
    </row>
    <row r="44" spans="1:24" ht="66.75" customHeight="1">
      <c r="A44" s="141"/>
      <c r="B44" s="134"/>
      <c r="C44" s="134"/>
      <c r="D44" s="136"/>
      <c r="E44" s="141"/>
      <c r="F44" s="136"/>
      <c r="G44" s="138"/>
      <c r="H44" s="157"/>
      <c r="I44" s="160"/>
      <c r="J44" s="134"/>
      <c r="K44" s="134"/>
      <c r="L44" s="134"/>
      <c r="M44" s="134"/>
      <c r="N44" s="51" t="s">
        <v>38</v>
      </c>
      <c r="O44" s="40" t="s">
        <v>180</v>
      </c>
      <c r="P44" s="40" t="s">
        <v>196</v>
      </c>
      <c r="Q44" s="132"/>
      <c r="R44" s="132"/>
      <c r="S44" s="132"/>
      <c r="T44" s="132"/>
      <c r="U44" s="160"/>
      <c r="V44" s="132"/>
      <c r="W44" s="132"/>
      <c r="X44" s="132"/>
    </row>
    <row r="45" spans="1:24" ht="87" customHeight="1">
      <c r="A45" s="141"/>
      <c r="B45" s="134"/>
      <c r="C45" s="134"/>
      <c r="D45" s="136"/>
      <c r="E45" s="141"/>
      <c r="F45" s="136"/>
      <c r="G45" s="139"/>
      <c r="H45" s="157"/>
      <c r="I45" s="161"/>
      <c r="J45" s="134"/>
      <c r="K45" s="134"/>
      <c r="L45" s="134"/>
      <c r="M45" s="134"/>
      <c r="N45" s="51" t="s">
        <v>39</v>
      </c>
      <c r="O45" s="40" t="s">
        <v>850</v>
      </c>
      <c r="P45" s="40" t="s">
        <v>851</v>
      </c>
      <c r="Q45" s="133"/>
      <c r="R45" s="133"/>
      <c r="S45" s="133"/>
      <c r="T45" s="133"/>
      <c r="U45" s="161"/>
      <c r="V45" s="133"/>
      <c r="W45" s="133"/>
      <c r="X45" s="133"/>
    </row>
    <row r="46" spans="1:24" ht="35.25" customHeight="1">
      <c r="A46" s="140">
        <v>15</v>
      </c>
      <c r="B46" s="134" t="s">
        <v>197</v>
      </c>
      <c r="C46" s="134" t="s">
        <v>1004</v>
      </c>
      <c r="D46" s="135" t="s">
        <v>487</v>
      </c>
      <c r="E46" s="141" t="s">
        <v>40</v>
      </c>
      <c r="F46" s="135" t="s">
        <v>487</v>
      </c>
      <c r="G46" s="137"/>
      <c r="H46" s="145" t="s">
        <v>598</v>
      </c>
      <c r="I46" s="159" t="s">
        <v>599</v>
      </c>
      <c r="J46" s="134" t="e">
        <f>#REF!</f>
        <v>#REF!</v>
      </c>
      <c r="K46" s="134" t="e">
        <f>#REF!</f>
        <v>#REF!</v>
      </c>
      <c r="L46" s="134" t="e">
        <f>#REF!</f>
        <v>#REF!</v>
      </c>
      <c r="M46" s="134" t="e">
        <f t="shared" ref="M46" si="26">IF(OR(L46&gt;6), "Non-acceptable","Acceptable")</f>
        <v>#REF!</v>
      </c>
      <c r="N46" s="51" t="s">
        <v>37</v>
      </c>
      <c r="O46" s="48" t="s">
        <v>298</v>
      </c>
      <c r="P46" s="20"/>
      <c r="Q46" s="131" t="e">
        <f>#REF!</f>
        <v>#REF!</v>
      </c>
      <c r="R46" s="131" t="e">
        <f>#REF!</f>
        <v>#REF!</v>
      </c>
      <c r="S46" s="131" t="e">
        <f>#REF!</f>
        <v>#REF!</v>
      </c>
      <c r="T46" s="131" t="e">
        <f t="shared" ref="T46" si="27">IF(OR(S46&gt;6), "Non-acceptable","Acceptable")</f>
        <v>#REF!</v>
      </c>
      <c r="U46" s="150" t="s">
        <v>795</v>
      </c>
      <c r="V46" s="131" t="s">
        <v>724</v>
      </c>
      <c r="W46" s="131" t="s">
        <v>725</v>
      </c>
      <c r="X46" s="131" t="s">
        <v>726</v>
      </c>
    </row>
    <row r="47" spans="1:24" ht="64.5" customHeight="1">
      <c r="A47" s="141"/>
      <c r="B47" s="134"/>
      <c r="C47" s="134"/>
      <c r="D47" s="136"/>
      <c r="E47" s="141"/>
      <c r="F47" s="136"/>
      <c r="G47" s="138"/>
      <c r="H47" s="154"/>
      <c r="I47" s="160"/>
      <c r="J47" s="134"/>
      <c r="K47" s="134"/>
      <c r="L47" s="134"/>
      <c r="M47" s="134"/>
      <c r="N47" s="51" t="s">
        <v>38</v>
      </c>
      <c r="O47" s="40" t="s">
        <v>180</v>
      </c>
      <c r="P47" s="40" t="s">
        <v>196</v>
      </c>
      <c r="Q47" s="132"/>
      <c r="R47" s="132"/>
      <c r="S47" s="132"/>
      <c r="T47" s="132"/>
      <c r="U47" s="160"/>
      <c r="V47" s="132"/>
      <c r="W47" s="132"/>
      <c r="X47" s="132"/>
    </row>
    <row r="48" spans="1:24" ht="66" customHeight="1">
      <c r="A48" s="141"/>
      <c r="B48" s="134"/>
      <c r="C48" s="134"/>
      <c r="D48" s="136"/>
      <c r="E48" s="141"/>
      <c r="F48" s="136"/>
      <c r="G48" s="139"/>
      <c r="H48" s="155"/>
      <c r="I48" s="161"/>
      <c r="J48" s="134"/>
      <c r="K48" s="134"/>
      <c r="L48" s="134"/>
      <c r="M48" s="134"/>
      <c r="N48" s="51" t="s">
        <v>39</v>
      </c>
      <c r="O48" s="40" t="s">
        <v>852</v>
      </c>
      <c r="P48" s="40" t="s">
        <v>851</v>
      </c>
      <c r="Q48" s="133"/>
      <c r="R48" s="133"/>
      <c r="S48" s="133"/>
      <c r="T48" s="133"/>
      <c r="U48" s="161"/>
      <c r="V48" s="133"/>
      <c r="W48" s="133"/>
      <c r="X48" s="133"/>
    </row>
    <row r="49" spans="1:24" ht="35.25" customHeight="1">
      <c r="A49" s="140">
        <v>16</v>
      </c>
      <c r="B49" s="134" t="s">
        <v>198</v>
      </c>
      <c r="C49" s="134" t="s">
        <v>1004</v>
      </c>
      <c r="D49" s="135" t="s">
        <v>488</v>
      </c>
      <c r="E49" s="141" t="s">
        <v>40</v>
      </c>
      <c r="F49" s="135" t="s">
        <v>488</v>
      </c>
      <c r="G49" s="137"/>
      <c r="H49" s="145" t="s">
        <v>601</v>
      </c>
      <c r="I49" s="131" t="s">
        <v>600</v>
      </c>
      <c r="J49" s="134" t="e">
        <f>#REF!</f>
        <v>#REF!</v>
      </c>
      <c r="K49" s="134" t="e">
        <f>#REF!</f>
        <v>#REF!</v>
      </c>
      <c r="L49" s="134" t="e">
        <f>#REF!</f>
        <v>#REF!</v>
      </c>
      <c r="M49" s="134" t="e">
        <f t="shared" ref="M49" si="28">IF(OR(L49&gt;6), "Non-acceptable","Acceptable")</f>
        <v>#REF!</v>
      </c>
      <c r="N49" s="51" t="s">
        <v>37</v>
      </c>
      <c r="O49" s="48" t="s">
        <v>298</v>
      </c>
      <c r="P49" s="20"/>
      <c r="Q49" s="131" t="e">
        <f>#REF!</f>
        <v>#REF!</v>
      </c>
      <c r="R49" s="131" t="e">
        <f>#REF!</f>
        <v>#REF!</v>
      </c>
      <c r="S49" s="131" t="e">
        <f>#REF!</f>
        <v>#REF!</v>
      </c>
      <c r="T49" s="131" t="e">
        <f t="shared" ref="T49" si="29">IF(OR(S49&gt;6), "Non-acceptable","Acceptable")</f>
        <v>#REF!</v>
      </c>
      <c r="U49" s="150" t="s">
        <v>736</v>
      </c>
      <c r="V49" s="131" t="s">
        <v>724</v>
      </c>
      <c r="W49" s="131" t="s">
        <v>725</v>
      </c>
      <c r="X49" s="131" t="s">
        <v>726</v>
      </c>
    </row>
    <row r="50" spans="1:24" ht="60.75" customHeight="1">
      <c r="A50" s="141"/>
      <c r="B50" s="134"/>
      <c r="C50" s="134"/>
      <c r="D50" s="136"/>
      <c r="E50" s="141"/>
      <c r="F50" s="136"/>
      <c r="G50" s="138"/>
      <c r="H50" s="154"/>
      <c r="I50" s="132"/>
      <c r="J50" s="134"/>
      <c r="K50" s="134"/>
      <c r="L50" s="134"/>
      <c r="M50" s="134"/>
      <c r="N50" s="51" t="s">
        <v>38</v>
      </c>
      <c r="O50" s="40" t="s">
        <v>180</v>
      </c>
      <c r="P50" s="40" t="s">
        <v>196</v>
      </c>
      <c r="Q50" s="132"/>
      <c r="R50" s="132"/>
      <c r="S50" s="132"/>
      <c r="T50" s="132"/>
      <c r="U50" s="160"/>
      <c r="V50" s="132"/>
      <c r="W50" s="132"/>
      <c r="X50" s="132"/>
    </row>
    <row r="51" spans="1:24" ht="78.75" customHeight="1">
      <c r="A51" s="141"/>
      <c r="B51" s="134"/>
      <c r="C51" s="134"/>
      <c r="D51" s="136"/>
      <c r="E51" s="141"/>
      <c r="F51" s="136"/>
      <c r="G51" s="139"/>
      <c r="H51" s="155"/>
      <c r="I51" s="133"/>
      <c r="J51" s="134"/>
      <c r="K51" s="134"/>
      <c r="L51" s="134"/>
      <c r="M51" s="134"/>
      <c r="N51" s="51" t="s">
        <v>39</v>
      </c>
      <c r="O51" s="40" t="s">
        <v>853</v>
      </c>
      <c r="P51" s="40" t="s">
        <v>851</v>
      </c>
      <c r="Q51" s="133"/>
      <c r="R51" s="133"/>
      <c r="S51" s="133"/>
      <c r="T51" s="133"/>
      <c r="U51" s="161"/>
      <c r="V51" s="133"/>
      <c r="W51" s="133"/>
      <c r="X51" s="133"/>
    </row>
    <row r="52" spans="1:24" ht="42" customHeight="1">
      <c r="A52" s="140">
        <v>17</v>
      </c>
      <c r="B52" s="134" t="s">
        <v>442</v>
      </c>
      <c r="C52" s="134" t="s">
        <v>1004</v>
      </c>
      <c r="D52" s="135" t="s">
        <v>441</v>
      </c>
      <c r="E52" s="141" t="s">
        <v>40</v>
      </c>
      <c r="F52" s="135" t="s">
        <v>441</v>
      </c>
      <c r="G52" s="137"/>
      <c r="H52" s="134" t="s">
        <v>591</v>
      </c>
      <c r="I52" s="131" t="s">
        <v>302</v>
      </c>
      <c r="J52" s="134" t="e">
        <f>#REF!</f>
        <v>#REF!</v>
      </c>
      <c r="K52" s="134" t="e">
        <f>#REF!</f>
        <v>#REF!</v>
      </c>
      <c r="L52" s="134" t="e">
        <f>#REF!</f>
        <v>#REF!</v>
      </c>
      <c r="M52" s="134" t="e">
        <f t="shared" ref="M52" si="30">IF(OR(L52&gt;6), "Non-acceptable","Acceptable")</f>
        <v>#REF!</v>
      </c>
      <c r="N52" s="51" t="s">
        <v>37</v>
      </c>
      <c r="O52" s="48" t="s">
        <v>327</v>
      </c>
      <c r="P52" s="20"/>
      <c r="Q52" s="131" t="e">
        <f>#REF!</f>
        <v>#REF!</v>
      </c>
      <c r="R52" s="131" t="e">
        <f>#REF!</f>
        <v>#REF!</v>
      </c>
      <c r="S52" s="131" t="e">
        <f>#REF!</f>
        <v>#REF!</v>
      </c>
      <c r="T52" s="131" t="e">
        <f t="shared" ref="T52" si="31">IF(OR(S52&gt;6), "Non-acceptable","Acceptable")</f>
        <v>#REF!</v>
      </c>
      <c r="U52" s="150" t="s">
        <v>737</v>
      </c>
      <c r="V52" s="131" t="s">
        <v>793</v>
      </c>
      <c r="W52" s="131" t="s">
        <v>725</v>
      </c>
      <c r="X52" s="131" t="s">
        <v>726</v>
      </c>
    </row>
    <row r="53" spans="1:24" ht="62.25" customHeight="1">
      <c r="A53" s="141"/>
      <c r="B53" s="134"/>
      <c r="C53" s="134"/>
      <c r="D53" s="136"/>
      <c r="E53" s="141"/>
      <c r="F53" s="136"/>
      <c r="G53" s="138"/>
      <c r="H53" s="134"/>
      <c r="I53" s="132"/>
      <c r="J53" s="134"/>
      <c r="K53" s="134"/>
      <c r="L53" s="134"/>
      <c r="M53" s="134"/>
      <c r="N53" s="51" t="s">
        <v>38</v>
      </c>
      <c r="O53" s="40" t="s">
        <v>423</v>
      </c>
      <c r="P53" s="40" t="s">
        <v>433</v>
      </c>
      <c r="Q53" s="132"/>
      <c r="R53" s="132"/>
      <c r="S53" s="132"/>
      <c r="T53" s="132"/>
      <c r="U53" s="160"/>
      <c r="V53" s="132"/>
      <c r="W53" s="132"/>
      <c r="X53" s="132"/>
    </row>
    <row r="54" spans="1:24" ht="76.5" customHeight="1">
      <c r="A54" s="141"/>
      <c r="B54" s="134"/>
      <c r="C54" s="134"/>
      <c r="D54" s="136"/>
      <c r="E54" s="141"/>
      <c r="F54" s="136"/>
      <c r="G54" s="139"/>
      <c r="H54" s="134"/>
      <c r="I54" s="133"/>
      <c r="J54" s="134"/>
      <c r="K54" s="134"/>
      <c r="L54" s="134"/>
      <c r="M54" s="134"/>
      <c r="N54" s="51" t="s">
        <v>39</v>
      </c>
      <c r="O54" s="40" t="s">
        <v>1005</v>
      </c>
      <c r="P54" s="40" t="s">
        <v>851</v>
      </c>
      <c r="Q54" s="133"/>
      <c r="R54" s="133"/>
      <c r="S54" s="133"/>
      <c r="T54" s="133"/>
      <c r="U54" s="161"/>
      <c r="V54" s="133"/>
      <c r="W54" s="133"/>
      <c r="X54" s="133"/>
    </row>
    <row r="55" spans="1:24" ht="33.75" customHeight="1">
      <c r="A55" s="140">
        <v>18</v>
      </c>
      <c r="B55" s="134" t="s">
        <v>440</v>
      </c>
      <c r="C55" s="134" t="s">
        <v>1004</v>
      </c>
      <c r="D55" s="135" t="s">
        <v>439</v>
      </c>
      <c r="E55" s="141" t="s">
        <v>40</v>
      </c>
      <c r="F55" s="135" t="s">
        <v>439</v>
      </c>
      <c r="G55" s="137"/>
      <c r="H55" s="134" t="s">
        <v>593</v>
      </c>
      <c r="I55" s="131" t="s">
        <v>438</v>
      </c>
      <c r="J55" s="134" t="e">
        <f>#REF!</f>
        <v>#REF!</v>
      </c>
      <c r="K55" s="134" t="e">
        <f>#REF!</f>
        <v>#REF!</v>
      </c>
      <c r="L55" s="134" t="e">
        <f>#REF!</f>
        <v>#REF!</v>
      </c>
      <c r="M55" s="134" t="e">
        <f t="shared" ref="M55" si="32">IF(OR(L55&gt;6), "Non-acceptable","Acceptable")</f>
        <v>#REF!</v>
      </c>
      <c r="N55" s="51" t="s">
        <v>37</v>
      </c>
      <c r="O55" s="48" t="s">
        <v>327</v>
      </c>
      <c r="P55" s="20"/>
      <c r="Q55" s="131" t="e">
        <f>#REF!</f>
        <v>#REF!</v>
      </c>
      <c r="R55" s="131" t="e">
        <f>#REF!</f>
        <v>#REF!</v>
      </c>
      <c r="S55" s="131" t="e">
        <f>#REF!</f>
        <v>#REF!</v>
      </c>
      <c r="T55" s="131" t="e">
        <f t="shared" ref="T55" si="33">IF(OR(S55&gt;6), "Non-acceptable","Acceptable")</f>
        <v>#REF!</v>
      </c>
      <c r="U55" s="150" t="s">
        <v>737</v>
      </c>
      <c r="V55" s="131" t="s">
        <v>724</v>
      </c>
      <c r="W55" s="131" t="s">
        <v>725</v>
      </c>
      <c r="X55" s="131" t="s">
        <v>726</v>
      </c>
    </row>
    <row r="56" spans="1:24" ht="62.25" customHeight="1">
      <c r="A56" s="141"/>
      <c r="B56" s="134"/>
      <c r="C56" s="134"/>
      <c r="D56" s="136"/>
      <c r="E56" s="141"/>
      <c r="F56" s="136"/>
      <c r="G56" s="138"/>
      <c r="H56" s="134"/>
      <c r="I56" s="132"/>
      <c r="J56" s="134"/>
      <c r="K56" s="134"/>
      <c r="L56" s="134"/>
      <c r="M56" s="134"/>
      <c r="N56" s="51" t="s">
        <v>38</v>
      </c>
      <c r="O56" s="40" t="s">
        <v>437</v>
      </c>
      <c r="P56" s="40" t="s">
        <v>436</v>
      </c>
      <c r="Q56" s="132"/>
      <c r="R56" s="132"/>
      <c r="S56" s="132"/>
      <c r="T56" s="132"/>
      <c r="U56" s="160"/>
      <c r="V56" s="132"/>
      <c r="W56" s="132"/>
      <c r="X56" s="132"/>
    </row>
    <row r="57" spans="1:24" ht="79.5" customHeight="1">
      <c r="A57" s="141"/>
      <c r="B57" s="134"/>
      <c r="C57" s="134"/>
      <c r="D57" s="136"/>
      <c r="E57" s="141"/>
      <c r="F57" s="136"/>
      <c r="G57" s="139"/>
      <c r="H57" s="134"/>
      <c r="I57" s="133"/>
      <c r="J57" s="134"/>
      <c r="K57" s="134"/>
      <c r="L57" s="134"/>
      <c r="M57" s="134"/>
      <c r="N57" s="51" t="s">
        <v>39</v>
      </c>
      <c r="O57" s="40" t="s">
        <v>1006</v>
      </c>
      <c r="P57" s="40" t="s">
        <v>851</v>
      </c>
      <c r="Q57" s="133"/>
      <c r="R57" s="133"/>
      <c r="S57" s="133"/>
      <c r="T57" s="133"/>
      <c r="U57" s="161"/>
      <c r="V57" s="133"/>
      <c r="W57" s="133"/>
      <c r="X57" s="133"/>
    </row>
    <row r="58" spans="1:24" ht="33.75" customHeight="1">
      <c r="A58" s="140">
        <v>19</v>
      </c>
      <c r="B58" s="134" t="s">
        <v>443</v>
      </c>
      <c r="C58" s="134" t="s">
        <v>1004</v>
      </c>
      <c r="D58" s="145" t="s">
        <v>602</v>
      </c>
      <c r="E58" s="141" t="s">
        <v>40</v>
      </c>
      <c r="F58" s="145" t="s">
        <v>602</v>
      </c>
      <c r="G58" s="137"/>
      <c r="H58" s="134" t="s">
        <v>603</v>
      </c>
      <c r="I58" s="131" t="s">
        <v>604</v>
      </c>
      <c r="J58" s="134" t="e">
        <f>#REF!</f>
        <v>#REF!</v>
      </c>
      <c r="K58" s="134" t="e">
        <f>#REF!</f>
        <v>#REF!</v>
      </c>
      <c r="L58" s="134" t="e">
        <f>#REF!</f>
        <v>#REF!</v>
      </c>
      <c r="M58" s="134" t="e">
        <f t="shared" ref="M58" si="34">IF(OR(L58&gt;6), "Non-acceptable","Acceptable")</f>
        <v>#REF!</v>
      </c>
      <c r="N58" s="51" t="s">
        <v>37</v>
      </c>
      <c r="O58" s="48" t="s">
        <v>327</v>
      </c>
      <c r="P58" s="20"/>
      <c r="Q58" s="131" t="e">
        <f>#REF!</f>
        <v>#REF!</v>
      </c>
      <c r="R58" s="131" t="e">
        <f>#REF!</f>
        <v>#REF!</v>
      </c>
      <c r="S58" s="131" t="e">
        <f>#REF!</f>
        <v>#REF!</v>
      </c>
      <c r="T58" s="131" t="e">
        <f t="shared" ref="T58" si="35">IF(OR(S58&gt;6), "Non-acceptable","Acceptable")</f>
        <v>#REF!</v>
      </c>
      <c r="U58" s="150" t="s">
        <v>738</v>
      </c>
      <c r="V58" s="131" t="s">
        <v>724</v>
      </c>
      <c r="W58" s="131" t="s">
        <v>725</v>
      </c>
      <c r="X58" s="131" t="s">
        <v>726</v>
      </c>
    </row>
    <row r="59" spans="1:24" ht="67.5" customHeight="1">
      <c r="A59" s="141"/>
      <c r="B59" s="134"/>
      <c r="C59" s="134"/>
      <c r="D59" s="146"/>
      <c r="E59" s="141"/>
      <c r="F59" s="146"/>
      <c r="G59" s="138"/>
      <c r="H59" s="134"/>
      <c r="I59" s="132"/>
      <c r="J59" s="134"/>
      <c r="K59" s="134"/>
      <c r="L59" s="134"/>
      <c r="M59" s="134"/>
      <c r="N59" s="51" t="s">
        <v>38</v>
      </c>
      <c r="O59" s="40" t="s">
        <v>423</v>
      </c>
      <c r="P59" s="40" t="s">
        <v>433</v>
      </c>
      <c r="Q59" s="132"/>
      <c r="R59" s="132"/>
      <c r="S59" s="132"/>
      <c r="T59" s="132"/>
      <c r="U59" s="160"/>
      <c r="V59" s="132"/>
      <c r="W59" s="132"/>
      <c r="X59" s="132"/>
    </row>
    <row r="60" spans="1:24" ht="63.75" customHeight="1">
      <c r="A60" s="141"/>
      <c r="B60" s="134"/>
      <c r="C60" s="134"/>
      <c r="D60" s="147"/>
      <c r="E60" s="141"/>
      <c r="F60" s="147"/>
      <c r="G60" s="139"/>
      <c r="H60" s="134"/>
      <c r="I60" s="133"/>
      <c r="J60" s="134"/>
      <c r="K60" s="134"/>
      <c r="L60" s="134"/>
      <c r="M60" s="134"/>
      <c r="N60" s="51" t="s">
        <v>39</v>
      </c>
      <c r="O60" s="40" t="s">
        <v>1007</v>
      </c>
      <c r="P60" s="40" t="s">
        <v>851</v>
      </c>
      <c r="Q60" s="133"/>
      <c r="R60" s="133"/>
      <c r="S60" s="133"/>
      <c r="T60" s="133"/>
      <c r="U60" s="161"/>
      <c r="V60" s="133"/>
      <c r="W60" s="133"/>
      <c r="X60" s="133"/>
    </row>
    <row r="61" spans="1:24" ht="36" customHeight="1">
      <c r="A61" s="140">
        <v>20</v>
      </c>
      <c r="B61" s="134" t="s">
        <v>362</v>
      </c>
      <c r="C61" s="148" t="s">
        <v>854</v>
      </c>
      <c r="D61" s="135" t="s">
        <v>647</v>
      </c>
      <c r="E61" s="141" t="s">
        <v>716</v>
      </c>
      <c r="F61" s="135" t="s">
        <v>647</v>
      </c>
      <c r="G61" s="137"/>
      <c r="H61" s="136" t="s">
        <v>606</v>
      </c>
      <c r="I61" s="134" t="s">
        <v>344</v>
      </c>
      <c r="J61" s="134" t="e">
        <f>#REF!</f>
        <v>#REF!</v>
      </c>
      <c r="K61" s="134" t="e">
        <f>#REF!</f>
        <v>#REF!</v>
      </c>
      <c r="L61" s="134" t="e">
        <f>#REF!</f>
        <v>#REF!</v>
      </c>
      <c r="M61" s="134" t="e">
        <f t="shared" ref="M61" si="36">IF(OR(L61&gt;6), "Non-acceptable","Acceptable")</f>
        <v>#REF!</v>
      </c>
      <c r="N61" s="51" t="s">
        <v>37</v>
      </c>
      <c r="O61" s="48" t="s">
        <v>279</v>
      </c>
      <c r="P61" s="48" t="s">
        <v>280</v>
      </c>
      <c r="Q61" s="131" t="e">
        <f>#REF!</f>
        <v>#REF!</v>
      </c>
      <c r="R61" s="131" t="e">
        <f>#REF!</f>
        <v>#REF!</v>
      </c>
      <c r="S61" s="131" t="e">
        <f>#REF!</f>
        <v>#REF!</v>
      </c>
      <c r="T61" s="131" t="e">
        <f t="shared" ref="T61" si="37">IF(OR(S61&gt;6), "Non-acceptable","Acceptable")</f>
        <v>#REF!</v>
      </c>
      <c r="U61" s="150" t="s">
        <v>739</v>
      </c>
      <c r="V61" s="131" t="s">
        <v>724</v>
      </c>
      <c r="W61" s="131" t="s">
        <v>725</v>
      </c>
      <c r="X61" s="131" t="s">
        <v>726</v>
      </c>
    </row>
    <row r="62" spans="1:24" ht="31.5" customHeight="1">
      <c r="A62" s="141"/>
      <c r="B62" s="134"/>
      <c r="C62" s="132"/>
      <c r="D62" s="136"/>
      <c r="E62" s="141"/>
      <c r="F62" s="136"/>
      <c r="G62" s="138"/>
      <c r="H62" s="136"/>
      <c r="I62" s="134"/>
      <c r="J62" s="134"/>
      <c r="K62" s="134"/>
      <c r="L62" s="134"/>
      <c r="M62" s="134"/>
      <c r="N62" s="51" t="s">
        <v>38</v>
      </c>
      <c r="O62" s="48" t="s">
        <v>515</v>
      </c>
      <c r="P62" s="48" t="s">
        <v>516</v>
      </c>
      <c r="Q62" s="132"/>
      <c r="R62" s="132"/>
      <c r="S62" s="132"/>
      <c r="T62" s="132"/>
      <c r="U62" s="160"/>
      <c r="V62" s="132"/>
      <c r="W62" s="132"/>
      <c r="X62" s="132"/>
    </row>
    <row r="63" spans="1:24" ht="122.25" customHeight="1">
      <c r="A63" s="141"/>
      <c r="B63" s="134"/>
      <c r="C63" s="133"/>
      <c r="D63" s="136"/>
      <c r="E63" s="141"/>
      <c r="F63" s="136"/>
      <c r="G63" s="139"/>
      <c r="H63" s="136"/>
      <c r="I63" s="134"/>
      <c r="J63" s="134"/>
      <c r="K63" s="134"/>
      <c r="L63" s="134"/>
      <c r="M63" s="134"/>
      <c r="N63" s="51" t="s">
        <v>39</v>
      </c>
      <c r="O63" s="40" t="s">
        <v>855</v>
      </c>
      <c r="P63" s="40" t="s">
        <v>856</v>
      </c>
      <c r="Q63" s="133"/>
      <c r="R63" s="133"/>
      <c r="S63" s="133"/>
      <c r="T63" s="133"/>
      <c r="U63" s="161"/>
      <c r="V63" s="133"/>
      <c r="W63" s="133"/>
      <c r="X63" s="133"/>
    </row>
    <row r="64" spans="1:24" ht="40.5" customHeight="1">
      <c r="A64" s="140">
        <v>21</v>
      </c>
      <c r="B64" s="134" t="s">
        <v>504</v>
      </c>
      <c r="C64" s="134" t="s">
        <v>1008</v>
      </c>
      <c r="D64" s="135" t="s">
        <v>605</v>
      </c>
      <c r="E64" s="141" t="s">
        <v>716</v>
      </c>
      <c r="F64" s="135" t="s">
        <v>605</v>
      </c>
      <c r="G64" s="137"/>
      <c r="H64" s="135" t="s">
        <v>607</v>
      </c>
      <c r="I64" s="131" t="s">
        <v>368</v>
      </c>
      <c r="J64" s="134" t="e">
        <f>#REF!</f>
        <v>#REF!</v>
      </c>
      <c r="K64" s="134" t="e">
        <f>#REF!</f>
        <v>#REF!</v>
      </c>
      <c r="L64" s="134" t="e">
        <f>#REF!</f>
        <v>#REF!</v>
      </c>
      <c r="M64" s="134" t="e">
        <f t="shared" ref="M64" si="38">IF(OR(L64&gt;6), "Non-acceptable","Acceptable")</f>
        <v>#REF!</v>
      </c>
      <c r="N64" s="51" t="s">
        <v>37</v>
      </c>
      <c r="O64" s="48" t="s">
        <v>278</v>
      </c>
      <c r="P64" s="42"/>
      <c r="Q64" s="131" t="e">
        <f>#REF!</f>
        <v>#REF!</v>
      </c>
      <c r="R64" s="131" t="e">
        <f>#REF!</f>
        <v>#REF!</v>
      </c>
      <c r="S64" s="131" t="e">
        <f>#REF!</f>
        <v>#REF!</v>
      </c>
      <c r="T64" s="131" t="e">
        <f t="shared" ref="T64" si="39">IF(OR(S64&gt;6), "Non-acceptable","Acceptable")</f>
        <v>#REF!</v>
      </c>
      <c r="U64" s="150" t="s">
        <v>740</v>
      </c>
      <c r="V64" s="131" t="s">
        <v>724</v>
      </c>
      <c r="W64" s="131" t="s">
        <v>725</v>
      </c>
      <c r="X64" s="131" t="s">
        <v>726</v>
      </c>
    </row>
    <row r="65" spans="1:24" ht="60.75" customHeight="1">
      <c r="A65" s="141"/>
      <c r="B65" s="134"/>
      <c r="C65" s="134"/>
      <c r="D65" s="136"/>
      <c r="E65" s="141"/>
      <c r="F65" s="136"/>
      <c r="G65" s="138"/>
      <c r="H65" s="136"/>
      <c r="I65" s="132"/>
      <c r="J65" s="134"/>
      <c r="K65" s="134"/>
      <c r="L65" s="134"/>
      <c r="M65" s="134"/>
      <c r="N65" s="51" t="s">
        <v>38</v>
      </c>
      <c r="O65" s="40" t="s">
        <v>517</v>
      </c>
      <c r="P65" s="40" t="s">
        <v>369</v>
      </c>
      <c r="Q65" s="132"/>
      <c r="R65" s="132"/>
      <c r="S65" s="132"/>
      <c r="T65" s="132"/>
      <c r="U65" s="160"/>
      <c r="V65" s="132"/>
      <c r="W65" s="132"/>
      <c r="X65" s="132"/>
    </row>
    <row r="66" spans="1:24" ht="110.25" customHeight="1">
      <c r="A66" s="141"/>
      <c r="B66" s="134"/>
      <c r="C66" s="134"/>
      <c r="D66" s="136"/>
      <c r="E66" s="141"/>
      <c r="F66" s="136"/>
      <c r="G66" s="139"/>
      <c r="H66" s="136"/>
      <c r="I66" s="133"/>
      <c r="J66" s="134"/>
      <c r="K66" s="134"/>
      <c r="L66" s="134"/>
      <c r="M66" s="134"/>
      <c r="N66" s="51" t="s">
        <v>39</v>
      </c>
      <c r="O66" s="40" t="s">
        <v>857</v>
      </c>
      <c r="P66" s="40" t="s">
        <v>518</v>
      </c>
      <c r="Q66" s="133"/>
      <c r="R66" s="133"/>
      <c r="S66" s="133"/>
      <c r="T66" s="133"/>
      <c r="U66" s="161"/>
      <c r="V66" s="133"/>
      <c r="W66" s="133"/>
      <c r="X66" s="133"/>
    </row>
    <row r="67" spans="1:24" ht="40.5" customHeight="1">
      <c r="A67" s="140">
        <v>22</v>
      </c>
      <c r="B67" s="131" t="s">
        <v>505</v>
      </c>
      <c r="C67" s="134" t="s">
        <v>1009</v>
      </c>
      <c r="D67" s="142" t="s">
        <v>858</v>
      </c>
      <c r="E67" s="134" t="s">
        <v>40</v>
      </c>
      <c r="F67" s="142" t="s">
        <v>858</v>
      </c>
      <c r="G67" s="137"/>
      <c r="H67" s="135" t="s">
        <v>608</v>
      </c>
      <c r="I67" s="134" t="s">
        <v>609</v>
      </c>
      <c r="J67" s="134" t="e">
        <f>#REF!</f>
        <v>#REF!</v>
      </c>
      <c r="K67" s="134" t="e">
        <f>#REF!</f>
        <v>#REF!</v>
      </c>
      <c r="L67" s="134" t="e">
        <f>#REF!</f>
        <v>#REF!</v>
      </c>
      <c r="M67" s="134" t="e">
        <f t="shared" ref="M67" si="40">IF(OR(L67&gt;6), "Non-acceptable","Acceptable")</f>
        <v>#REF!</v>
      </c>
      <c r="N67" s="51" t="s">
        <v>37</v>
      </c>
      <c r="O67" s="40" t="s">
        <v>275</v>
      </c>
      <c r="P67" s="40"/>
      <c r="Q67" s="131" t="e">
        <f>#REF!</f>
        <v>#REF!</v>
      </c>
      <c r="R67" s="131" t="e">
        <f>#REF!</f>
        <v>#REF!</v>
      </c>
      <c r="S67" s="131" t="e">
        <f>#REF!</f>
        <v>#REF!</v>
      </c>
      <c r="T67" s="131" t="e">
        <f t="shared" ref="T67" si="41">IF(OR(S67&gt;6), "Non-acceptable","Acceptable")</f>
        <v>#REF!</v>
      </c>
      <c r="U67" s="150" t="s">
        <v>741</v>
      </c>
      <c r="V67" s="131" t="s">
        <v>724</v>
      </c>
      <c r="W67" s="131" t="s">
        <v>725</v>
      </c>
      <c r="X67" s="131" t="s">
        <v>726</v>
      </c>
    </row>
    <row r="68" spans="1:24" ht="51" customHeight="1">
      <c r="A68" s="141"/>
      <c r="B68" s="132"/>
      <c r="C68" s="141"/>
      <c r="D68" s="141"/>
      <c r="E68" s="134"/>
      <c r="F68" s="141"/>
      <c r="G68" s="138"/>
      <c r="H68" s="136"/>
      <c r="I68" s="143"/>
      <c r="J68" s="134"/>
      <c r="K68" s="134"/>
      <c r="L68" s="134"/>
      <c r="M68" s="134"/>
      <c r="N68" s="51" t="s">
        <v>38</v>
      </c>
      <c r="O68" s="40" t="s">
        <v>342</v>
      </c>
      <c r="P68" s="40" t="s">
        <v>343</v>
      </c>
      <c r="Q68" s="132"/>
      <c r="R68" s="132"/>
      <c r="S68" s="132"/>
      <c r="T68" s="132"/>
      <c r="U68" s="160"/>
      <c r="V68" s="132"/>
      <c r="W68" s="132"/>
      <c r="X68" s="132"/>
    </row>
    <row r="69" spans="1:24" ht="75" customHeight="1">
      <c r="A69" s="141"/>
      <c r="B69" s="133"/>
      <c r="C69" s="141"/>
      <c r="D69" s="141"/>
      <c r="E69" s="134"/>
      <c r="F69" s="141"/>
      <c r="G69" s="139"/>
      <c r="H69" s="136"/>
      <c r="I69" s="143"/>
      <c r="J69" s="134"/>
      <c r="K69" s="134"/>
      <c r="L69" s="134"/>
      <c r="M69" s="134"/>
      <c r="N69" s="51" t="s">
        <v>39</v>
      </c>
      <c r="O69" s="40" t="s">
        <v>859</v>
      </c>
      <c r="P69" s="40" t="s">
        <v>860</v>
      </c>
      <c r="Q69" s="133"/>
      <c r="R69" s="133"/>
      <c r="S69" s="133"/>
      <c r="T69" s="133"/>
      <c r="U69" s="161"/>
      <c r="V69" s="133"/>
      <c r="W69" s="133"/>
      <c r="X69" s="133"/>
    </row>
    <row r="70" spans="1:24" ht="40.5" customHeight="1">
      <c r="A70" s="140">
        <v>23</v>
      </c>
      <c r="B70" s="134" t="s">
        <v>392</v>
      </c>
      <c r="C70" s="143" t="s">
        <v>1010</v>
      </c>
      <c r="D70" s="174" t="s">
        <v>610</v>
      </c>
      <c r="E70" s="141" t="s">
        <v>716</v>
      </c>
      <c r="F70" s="174" t="s">
        <v>610</v>
      </c>
      <c r="G70" s="137"/>
      <c r="H70" s="145" t="s">
        <v>399</v>
      </c>
      <c r="I70" s="134" t="s">
        <v>393</v>
      </c>
      <c r="J70" s="134" t="e">
        <f>#REF!</f>
        <v>#REF!</v>
      </c>
      <c r="K70" s="134" t="e">
        <f>#REF!</f>
        <v>#REF!</v>
      </c>
      <c r="L70" s="134" t="e">
        <f>#REF!</f>
        <v>#REF!</v>
      </c>
      <c r="M70" s="134" t="e">
        <f t="shared" ref="M70" si="42">IF(OR(L70&gt;6), "Non-acceptable","Acceptable")</f>
        <v>#REF!</v>
      </c>
      <c r="N70" s="51" t="s">
        <v>37</v>
      </c>
      <c r="O70" s="40" t="s">
        <v>285</v>
      </c>
      <c r="P70" s="42"/>
      <c r="Q70" s="131" t="e">
        <f>#REF!</f>
        <v>#REF!</v>
      </c>
      <c r="R70" s="131" t="e">
        <f>#REF!</f>
        <v>#REF!</v>
      </c>
      <c r="S70" s="131" t="e">
        <f>#REF!</f>
        <v>#REF!</v>
      </c>
      <c r="T70" s="131" t="e">
        <f t="shared" ref="T70" si="43">IF(OR(S70&gt;6), "Non-acceptable","Acceptable")</f>
        <v>#REF!</v>
      </c>
      <c r="U70" s="150" t="s">
        <v>742</v>
      </c>
      <c r="V70" s="131" t="s">
        <v>724</v>
      </c>
      <c r="W70" s="131" t="s">
        <v>725</v>
      </c>
      <c r="X70" s="131" t="s">
        <v>726</v>
      </c>
    </row>
    <row r="71" spans="1:24" ht="81" customHeight="1">
      <c r="A71" s="141"/>
      <c r="B71" s="134"/>
      <c r="C71" s="141"/>
      <c r="D71" s="174"/>
      <c r="E71" s="141"/>
      <c r="F71" s="174"/>
      <c r="G71" s="138"/>
      <c r="H71" s="146"/>
      <c r="I71" s="134"/>
      <c r="J71" s="134"/>
      <c r="K71" s="134"/>
      <c r="L71" s="134"/>
      <c r="M71" s="134"/>
      <c r="N71" s="51" t="s">
        <v>38</v>
      </c>
      <c r="O71" s="40" t="s">
        <v>394</v>
      </c>
      <c r="P71" s="40" t="s">
        <v>395</v>
      </c>
      <c r="Q71" s="132"/>
      <c r="R71" s="132"/>
      <c r="S71" s="132"/>
      <c r="T71" s="132"/>
      <c r="U71" s="160"/>
      <c r="V71" s="132"/>
      <c r="W71" s="132"/>
      <c r="X71" s="132"/>
    </row>
    <row r="72" spans="1:24" ht="34.5" customHeight="1">
      <c r="A72" s="141"/>
      <c r="B72" s="134"/>
      <c r="C72" s="141"/>
      <c r="D72" s="174"/>
      <c r="E72" s="141"/>
      <c r="F72" s="174"/>
      <c r="G72" s="139"/>
      <c r="H72" s="147"/>
      <c r="I72" s="134"/>
      <c r="J72" s="134"/>
      <c r="K72" s="134"/>
      <c r="L72" s="134"/>
      <c r="M72" s="134"/>
      <c r="N72" s="51" t="s">
        <v>39</v>
      </c>
      <c r="O72" s="48" t="s">
        <v>284</v>
      </c>
      <c r="P72" s="41"/>
      <c r="Q72" s="133"/>
      <c r="R72" s="133"/>
      <c r="S72" s="133"/>
      <c r="T72" s="133"/>
      <c r="U72" s="161"/>
      <c r="V72" s="133"/>
      <c r="W72" s="133"/>
      <c r="X72" s="133"/>
    </row>
    <row r="73" spans="1:24" ht="39" customHeight="1">
      <c r="A73" s="140">
        <v>24</v>
      </c>
      <c r="B73" s="134" t="s">
        <v>392</v>
      </c>
      <c r="C73" s="143" t="s">
        <v>1010</v>
      </c>
      <c r="D73" s="150" t="s">
        <v>861</v>
      </c>
      <c r="E73" s="141" t="s">
        <v>716</v>
      </c>
      <c r="F73" s="150" t="s">
        <v>861</v>
      </c>
      <c r="G73" s="137"/>
      <c r="H73" s="135" t="s">
        <v>611</v>
      </c>
      <c r="I73" s="134" t="s">
        <v>398</v>
      </c>
      <c r="J73" s="134" t="e">
        <f>#REF!</f>
        <v>#REF!</v>
      </c>
      <c r="K73" s="134" t="e">
        <f>#REF!</f>
        <v>#REF!</v>
      </c>
      <c r="L73" s="134" t="e">
        <f>#REF!</f>
        <v>#REF!</v>
      </c>
      <c r="M73" s="134" t="e">
        <f t="shared" ref="M73" si="44">IF(OR(L73&gt;6), "Non-acceptable","Acceptable")</f>
        <v>#REF!</v>
      </c>
      <c r="N73" s="51" t="s">
        <v>37</v>
      </c>
      <c r="O73" s="48" t="s">
        <v>519</v>
      </c>
      <c r="P73" s="48" t="s">
        <v>520</v>
      </c>
      <c r="Q73" s="131" t="e">
        <f>#REF!</f>
        <v>#REF!</v>
      </c>
      <c r="R73" s="131" t="e">
        <f>#REF!</f>
        <v>#REF!</v>
      </c>
      <c r="S73" s="131" t="e">
        <f>#REF!</f>
        <v>#REF!</v>
      </c>
      <c r="T73" s="131" t="e">
        <f t="shared" ref="T73" si="45">IF(OR(S73&gt;6), "Non-acceptable","Acceptable")</f>
        <v>#REF!</v>
      </c>
      <c r="U73" s="150" t="s">
        <v>742</v>
      </c>
      <c r="V73" s="131" t="s">
        <v>724</v>
      </c>
      <c r="W73" s="131" t="s">
        <v>725</v>
      </c>
      <c r="X73" s="131" t="s">
        <v>726</v>
      </c>
    </row>
    <row r="74" spans="1:24" ht="111" customHeight="1">
      <c r="A74" s="141"/>
      <c r="B74" s="134"/>
      <c r="C74" s="141"/>
      <c r="D74" s="151"/>
      <c r="E74" s="141"/>
      <c r="F74" s="151"/>
      <c r="G74" s="138"/>
      <c r="H74" s="136"/>
      <c r="I74" s="134"/>
      <c r="J74" s="134"/>
      <c r="K74" s="134"/>
      <c r="L74" s="134"/>
      <c r="M74" s="134"/>
      <c r="N74" s="51" t="s">
        <v>38</v>
      </c>
      <c r="O74" s="40" t="s">
        <v>521</v>
      </c>
      <c r="P74" s="40" t="s">
        <v>522</v>
      </c>
      <c r="Q74" s="132"/>
      <c r="R74" s="132"/>
      <c r="S74" s="132"/>
      <c r="T74" s="132"/>
      <c r="U74" s="160"/>
      <c r="V74" s="132"/>
      <c r="W74" s="132"/>
      <c r="X74" s="132"/>
    </row>
    <row r="75" spans="1:24" ht="30" customHeight="1">
      <c r="A75" s="141"/>
      <c r="B75" s="134"/>
      <c r="C75" s="141"/>
      <c r="D75" s="152"/>
      <c r="E75" s="141"/>
      <c r="F75" s="152"/>
      <c r="G75" s="139"/>
      <c r="H75" s="136"/>
      <c r="I75" s="134"/>
      <c r="J75" s="134"/>
      <c r="K75" s="134"/>
      <c r="L75" s="134"/>
      <c r="M75" s="134"/>
      <c r="N75" s="51" t="s">
        <v>39</v>
      </c>
      <c r="O75" s="48" t="s">
        <v>284</v>
      </c>
      <c r="P75" s="41"/>
      <c r="Q75" s="133"/>
      <c r="R75" s="133"/>
      <c r="S75" s="133"/>
      <c r="T75" s="133"/>
      <c r="U75" s="161"/>
      <c r="V75" s="133"/>
      <c r="W75" s="133"/>
      <c r="X75" s="133"/>
    </row>
    <row r="76" spans="1:24" ht="33.75" customHeight="1">
      <c r="A76" s="140">
        <v>25</v>
      </c>
      <c r="B76" s="134" t="s">
        <v>392</v>
      </c>
      <c r="C76" s="143" t="s">
        <v>1010</v>
      </c>
      <c r="D76" s="150" t="s">
        <v>612</v>
      </c>
      <c r="E76" s="141" t="s">
        <v>716</v>
      </c>
      <c r="F76" s="150" t="s">
        <v>612</v>
      </c>
      <c r="G76" s="137"/>
      <c r="H76" s="145" t="s">
        <v>399</v>
      </c>
      <c r="I76" s="134" t="s">
        <v>398</v>
      </c>
      <c r="J76" s="134" t="e">
        <f>#REF!</f>
        <v>#REF!</v>
      </c>
      <c r="K76" s="134" t="e">
        <f>#REF!</f>
        <v>#REF!</v>
      </c>
      <c r="L76" s="134" t="e">
        <f>#REF!</f>
        <v>#REF!</v>
      </c>
      <c r="M76" s="134" t="e">
        <f t="shared" ref="M76" si="46">IF(OR(L76&gt;6), "Non-acceptable","Acceptable")</f>
        <v>#REF!</v>
      </c>
      <c r="N76" s="51" t="s">
        <v>37</v>
      </c>
      <c r="O76" s="48" t="s">
        <v>519</v>
      </c>
      <c r="P76" s="48" t="s">
        <v>520</v>
      </c>
      <c r="Q76" s="131" t="e">
        <f>#REF!</f>
        <v>#REF!</v>
      </c>
      <c r="R76" s="131" t="e">
        <f>#REF!</f>
        <v>#REF!</v>
      </c>
      <c r="S76" s="131" t="e">
        <f>#REF!</f>
        <v>#REF!</v>
      </c>
      <c r="T76" s="131" t="e">
        <f t="shared" ref="T76" si="47">IF(OR(S76&gt;6), "Non-acceptable","Acceptable")</f>
        <v>#REF!</v>
      </c>
      <c r="U76" s="150" t="s">
        <v>796</v>
      </c>
      <c r="V76" s="131" t="s">
        <v>724</v>
      </c>
      <c r="W76" s="131" t="s">
        <v>725</v>
      </c>
      <c r="X76" s="131" t="s">
        <v>726</v>
      </c>
    </row>
    <row r="77" spans="1:24" ht="111" customHeight="1">
      <c r="A77" s="141"/>
      <c r="B77" s="134"/>
      <c r="C77" s="141"/>
      <c r="D77" s="151"/>
      <c r="E77" s="141"/>
      <c r="F77" s="151"/>
      <c r="G77" s="138"/>
      <c r="H77" s="146"/>
      <c r="I77" s="134"/>
      <c r="J77" s="134"/>
      <c r="K77" s="134"/>
      <c r="L77" s="134"/>
      <c r="M77" s="134"/>
      <c r="N77" s="51" t="s">
        <v>1011</v>
      </c>
      <c r="O77" s="40" t="s">
        <v>556</v>
      </c>
      <c r="P77" s="40" t="s">
        <v>523</v>
      </c>
      <c r="Q77" s="132"/>
      <c r="R77" s="132"/>
      <c r="S77" s="132"/>
      <c r="T77" s="132"/>
      <c r="U77" s="160"/>
      <c r="V77" s="132"/>
      <c r="W77" s="132"/>
      <c r="X77" s="132"/>
    </row>
    <row r="78" spans="1:24" ht="32.25" customHeight="1">
      <c r="A78" s="141"/>
      <c r="B78" s="134"/>
      <c r="C78" s="141"/>
      <c r="D78" s="152"/>
      <c r="E78" s="141"/>
      <c r="F78" s="152"/>
      <c r="G78" s="139"/>
      <c r="H78" s="147"/>
      <c r="I78" s="134"/>
      <c r="J78" s="134"/>
      <c r="K78" s="134"/>
      <c r="L78" s="134"/>
      <c r="M78" s="134"/>
      <c r="N78" s="51" t="s">
        <v>39</v>
      </c>
      <c r="O78" s="48" t="s">
        <v>284</v>
      </c>
      <c r="P78" s="41"/>
      <c r="Q78" s="133"/>
      <c r="R78" s="133"/>
      <c r="S78" s="133"/>
      <c r="T78" s="133"/>
      <c r="U78" s="161"/>
      <c r="V78" s="133"/>
      <c r="W78" s="133"/>
      <c r="X78" s="133"/>
    </row>
    <row r="79" spans="1:24" ht="36.75" customHeight="1">
      <c r="A79" s="140">
        <v>26</v>
      </c>
      <c r="B79" s="134" t="s">
        <v>392</v>
      </c>
      <c r="C79" s="143" t="s">
        <v>1010</v>
      </c>
      <c r="D79" s="150" t="s">
        <v>862</v>
      </c>
      <c r="E79" s="141" t="s">
        <v>716</v>
      </c>
      <c r="F79" s="150" t="s">
        <v>862</v>
      </c>
      <c r="G79" s="137"/>
      <c r="H79" s="135" t="s">
        <v>611</v>
      </c>
      <c r="I79" s="134" t="s">
        <v>398</v>
      </c>
      <c r="J79" s="134" t="e">
        <f>#REF!</f>
        <v>#REF!</v>
      </c>
      <c r="K79" s="134" t="e">
        <f>#REF!</f>
        <v>#REF!</v>
      </c>
      <c r="L79" s="134" t="e">
        <f>#REF!</f>
        <v>#REF!</v>
      </c>
      <c r="M79" s="134" t="e">
        <f t="shared" ref="M79" si="48">IF(OR(L79&gt;6), "Non-acceptable","Acceptable")</f>
        <v>#REF!</v>
      </c>
      <c r="N79" s="51" t="s">
        <v>37</v>
      </c>
      <c r="O79" s="48" t="s">
        <v>519</v>
      </c>
      <c r="P79" s="48" t="s">
        <v>524</v>
      </c>
      <c r="Q79" s="131" t="e">
        <f>#REF!</f>
        <v>#REF!</v>
      </c>
      <c r="R79" s="131" t="e">
        <f>#REF!</f>
        <v>#REF!</v>
      </c>
      <c r="S79" s="131" t="e">
        <f>#REF!</f>
        <v>#REF!</v>
      </c>
      <c r="T79" s="131" t="e">
        <f t="shared" ref="T79" si="49">IF(OR(S79&gt;6), "Non-acceptable","Acceptable")</f>
        <v>#REF!</v>
      </c>
      <c r="U79" s="150" t="s">
        <v>742</v>
      </c>
      <c r="V79" s="131" t="s">
        <v>724</v>
      </c>
      <c r="W79" s="131" t="s">
        <v>725</v>
      </c>
      <c r="X79" s="131" t="s">
        <v>726</v>
      </c>
    </row>
    <row r="80" spans="1:24" ht="121.5" customHeight="1">
      <c r="A80" s="141"/>
      <c r="B80" s="134"/>
      <c r="C80" s="141"/>
      <c r="D80" s="151"/>
      <c r="E80" s="141"/>
      <c r="F80" s="151"/>
      <c r="G80" s="138"/>
      <c r="H80" s="136"/>
      <c r="I80" s="134"/>
      <c r="J80" s="134"/>
      <c r="K80" s="134"/>
      <c r="L80" s="134"/>
      <c r="M80" s="134"/>
      <c r="N80" s="51" t="s">
        <v>38</v>
      </c>
      <c r="O80" s="40" t="s">
        <v>863</v>
      </c>
      <c r="P80" s="40" t="s">
        <v>525</v>
      </c>
      <c r="Q80" s="132"/>
      <c r="R80" s="132"/>
      <c r="S80" s="132"/>
      <c r="T80" s="132"/>
      <c r="U80" s="160"/>
      <c r="V80" s="132"/>
      <c r="W80" s="132"/>
      <c r="X80" s="132"/>
    </row>
    <row r="81" spans="1:24" ht="30.75" customHeight="1">
      <c r="A81" s="141"/>
      <c r="B81" s="134"/>
      <c r="C81" s="141"/>
      <c r="D81" s="152"/>
      <c r="E81" s="141"/>
      <c r="F81" s="152"/>
      <c r="G81" s="139"/>
      <c r="H81" s="136"/>
      <c r="I81" s="134"/>
      <c r="J81" s="134"/>
      <c r="K81" s="134"/>
      <c r="L81" s="134"/>
      <c r="M81" s="134"/>
      <c r="N81" s="51" t="s">
        <v>39</v>
      </c>
      <c r="O81" s="48" t="s">
        <v>284</v>
      </c>
      <c r="P81" s="41"/>
      <c r="Q81" s="133"/>
      <c r="R81" s="133"/>
      <c r="S81" s="133"/>
      <c r="T81" s="133"/>
      <c r="U81" s="161"/>
      <c r="V81" s="133"/>
      <c r="W81" s="133"/>
      <c r="X81" s="133"/>
    </row>
    <row r="82" spans="1:24" ht="42.75" customHeight="1">
      <c r="A82" s="140">
        <v>27</v>
      </c>
      <c r="B82" s="134" t="s">
        <v>392</v>
      </c>
      <c r="C82" s="143" t="s">
        <v>1010</v>
      </c>
      <c r="D82" s="145" t="s">
        <v>613</v>
      </c>
      <c r="E82" s="141" t="s">
        <v>716</v>
      </c>
      <c r="F82" s="145" t="s">
        <v>613</v>
      </c>
      <c r="G82" s="137"/>
      <c r="H82" s="145" t="s">
        <v>399</v>
      </c>
      <c r="I82" s="134" t="s">
        <v>400</v>
      </c>
      <c r="J82" s="134" t="e">
        <f>#REF!</f>
        <v>#REF!</v>
      </c>
      <c r="K82" s="134" t="e">
        <f>#REF!</f>
        <v>#REF!</v>
      </c>
      <c r="L82" s="134" t="e">
        <f>#REF!</f>
        <v>#REF!</v>
      </c>
      <c r="M82" s="134" t="e">
        <f t="shared" ref="M82" si="50">IF(OR(L82&gt;6), "Non-acceptable","Acceptable")</f>
        <v>#REF!</v>
      </c>
      <c r="N82" s="51" t="s">
        <v>37</v>
      </c>
      <c r="O82" s="48" t="s">
        <v>519</v>
      </c>
      <c r="P82" s="48" t="s">
        <v>520</v>
      </c>
      <c r="Q82" s="131" t="e">
        <f>#REF!</f>
        <v>#REF!</v>
      </c>
      <c r="R82" s="131" t="e">
        <f>#REF!</f>
        <v>#REF!</v>
      </c>
      <c r="S82" s="131" t="e">
        <f>#REF!</f>
        <v>#REF!</v>
      </c>
      <c r="T82" s="131" t="e">
        <f t="shared" ref="T82" si="51">IF(OR(S82&gt;6), "Non-acceptable","Acceptable")</f>
        <v>#REF!</v>
      </c>
      <c r="U82" s="150" t="s">
        <v>742</v>
      </c>
      <c r="V82" s="131" t="s">
        <v>724</v>
      </c>
      <c r="W82" s="131" t="s">
        <v>725</v>
      </c>
      <c r="X82" s="131" t="s">
        <v>726</v>
      </c>
    </row>
    <row r="83" spans="1:24" ht="69" customHeight="1">
      <c r="A83" s="141"/>
      <c r="B83" s="134"/>
      <c r="C83" s="141"/>
      <c r="D83" s="146"/>
      <c r="E83" s="141"/>
      <c r="F83" s="146"/>
      <c r="G83" s="138"/>
      <c r="H83" s="146"/>
      <c r="I83" s="134"/>
      <c r="J83" s="134"/>
      <c r="K83" s="134"/>
      <c r="L83" s="134"/>
      <c r="M83" s="134"/>
      <c r="N83" s="51" t="s">
        <v>38</v>
      </c>
      <c r="O83" s="40" t="s">
        <v>864</v>
      </c>
      <c r="P83" s="40" t="s">
        <v>526</v>
      </c>
      <c r="Q83" s="132"/>
      <c r="R83" s="132"/>
      <c r="S83" s="132"/>
      <c r="T83" s="132"/>
      <c r="U83" s="160"/>
      <c r="V83" s="132"/>
      <c r="W83" s="132"/>
      <c r="X83" s="132"/>
    </row>
    <row r="84" spans="1:24" ht="31.5" customHeight="1">
      <c r="A84" s="141"/>
      <c r="B84" s="134"/>
      <c r="C84" s="141"/>
      <c r="D84" s="147"/>
      <c r="E84" s="141"/>
      <c r="F84" s="147"/>
      <c r="G84" s="139"/>
      <c r="H84" s="147"/>
      <c r="I84" s="134"/>
      <c r="J84" s="134"/>
      <c r="K84" s="134"/>
      <c r="L84" s="134"/>
      <c r="M84" s="134"/>
      <c r="N84" s="51" t="s">
        <v>39</v>
      </c>
      <c r="O84" s="48" t="s">
        <v>284</v>
      </c>
      <c r="P84" s="41"/>
      <c r="Q84" s="133"/>
      <c r="R84" s="133"/>
      <c r="S84" s="133"/>
      <c r="T84" s="133"/>
      <c r="U84" s="161"/>
      <c r="V84" s="133"/>
      <c r="W84" s="133"/>
      <c r="X84" s="133"/>
    </row>
    <row r="85" spans="1:24" ht="37.5" customHeight="1">
      <c r="A85" s="140">
        <v>28</v>
      </c>
      <c r="B85" s="134" t="s">
        <v>403</v>
      </c>
      <c r="C85" s="143" t="s">
        <v>1010</v>
      </c>
      <c r="D85" s="150" t="s">
        <v>865</v>
      </c>
      <c r="E85" s="141" t="s">
        <v>716</v>
      </c>
      <c r="F85" s="150" t="s">
        <v>865</v>
      </c>
      <c r="G85" s="137"/>
      <c r="H85" s="135" t="s">
        <v>616</v>
      </c>
      <c r="I85" s="134" t="s">
        <v>404</v>
      </c>
      <c r="J85" s="134" t="e">
        <f>#REF!</f>
        <v>#REF!</v>
      </c>
      <c r="K85" s="134" t="e">
        <f>#REF!</f>
        <v>#REF!</v>
      </c>
      <c r="L85" s="134" t="e">
        <f>#REF!</f>
        <v>#REF!</v>
      </c>
      <c r="M85" s="134" t="e">
        <f t="shared" ref="M85" si="52">IF(OR(L85&gt;6), "Non-acceptable","Acceptable")</f>
        <v>#REF!</v>
      </c>
      <c r="N85" s="51" t="s">
        <v>37</v>
      </c>
      <c r="O85" s="48" t="s">
        <v>866</v>
      </c>
      <c r="P85" s="48" t="s">
        <v>867</v>
      </c>
      <c r="Q85" s="131" t="e">
        <f>#REF!</f>
        <v>#REF!</v>
      </c>
      <c r="R85" s="131" t="e">
        <f>#REF!</f>
        <v>#REF!</v>
      </c>
      <c r="S85" s="131" t="e">
        <f>#REF!</f>
        <v>#REF!</v>
      </c>
      <c r="T85" s="131" t="e">
        <f t="shared" ref="T85" si="53">IF(OR(S85&gt;6), "Non-acceptable","Acceptable")</f>
        <v>#REF!</v>
      </c>
      <c r="U85" s="150" t="s">
        <v>742</v>
      </c>
      <c r="V85" s="131" t="s">
        <v>724</v>
      </c>
      <c r="W85" s="131" t="s">
        <v>725</v>
      </c>
      <c r="X85" s="131" t="s">
        <v>726</v>
      </c>
    </row>
    <row r="86" spans="1:24" ht="83.25" customHeight="1">
      <c r="A86" s="141"/>
      <c r="B86" s="134"/>
      <c r="C86" s="141"/>
      <c r="D86" s="151"/>
      <c r="E86" s="141"/>
      <c r="F86" s="151"/>
      <c r="G86" s="138"/>
      <c r="H86" s="136"/>
      <c r="I86" s="134"/>
      <c r="J86" s="134"/>
      <c r="K86" s="134"/>
      <c r="L86" s="134"/>
      <c r="M86" s="134"/>
      <c r="N86" s="51" t="s">
        <v>38</v>
      </c>
      <c r="O86" s="40" t="s">
        <v>868</v>
      </c>
      <c r="P86" s="40" t="s">
        <v>869</v>
      </c>
      <c r="Q86" s="132"/>
      <c r="R86" s="132"/>
      <c r="S86" s="132"/>
      <c r="T86" s="132"/>
      <c r="U86" s="160"/>
      <c r="V86" s="132"/>
      <c r="W86" s="132"/>
      <c r="X86" s="132"/>
    </row>
    <row r="87" spans="1:24" ht="32.25" customHeight="1">
      <c r="A87" s="141"/>
      <c r="B87" s="134"/>
      <c r="C87" s="141"/>
      <c r="D87" s="152"/>
      <c r="E87" s="141"/>
      <c r="F87" s="152"/>
      <c r="G87" s="139"/>
      <c r="H87" s="136"/>
      <c r="I87" s="134"/>
      <c r="J87" s="134"/>
      <c r="K87" s="134"/>
      <c r="L87" s="134"/>
      <c r="M87" s="134"/>
      <c r="N87" s="51" t="s">
        <v>39</v>
      </c>
      <c r="O87" s="48" t="s">
        <v>284</v>
      </c>
      <c r="P87" s="41"/>
      <c r="Q87" s="133"/>
      <c r="R87" s="133"/>
      <c r="S87" s="133"/>
      <c r="T87" s="133"/>
      <c r="U87" s="161"/>
      <c r="V87" s="133"/>
      <c r="W87" s="133"/>
      <c r="X87" s="133"/>
    </row>
    <row r="88" spans="1:24" ht="36.75" customHeight="1">
      <c r="A88" s="140">
        <v>29</v>
      </c>
      <c r="B88" s="134" t="s">
        <v>403</v>
      </c>
      <c r="C88" s="143" t="s">
        <v>1010</v>
      </c>
      <c r="D88" s="150" t="s">
        <v>870</v>
      </c>
      <c r="E88" s="141" t="s">
        <v>716</v>
      </c>
      <c r="F88" s="150" t="s">
        <v>870</v>
      </c>
      <c r="G88" s="137"/>
      <c r="H88" s="135" t="s">
        <v>616</v>
      </c>
      <c r="I88" s="134" t="s">
        <v>404</v>
      </c>
      <c r="J88" s="134" t="e">
        <f>#REF!</f>
        <v>#REF!</v>
      </c>
      <c r="K88" s="134" t="e">
        <f>#REF!</f>
        <v>#REF!</v>
      </c>
      <c r="L88" s="134" t="e">
        <f>#REF!</f>
        <v>#REF!</v>
      </c>
      <c r="M88" s="134" t="e">
        <f t="shared" ref="M88" si="54">IF(OR(L88&gt;6), "Non-acceptable","Acceptable")</f>
        <v>#REF!</v>
      </c>
      <c r="N88" s="51" t="s">
        <v>37</v>
      </c>
      <c r="O88" s="48" t="s">
        <v>871</v>
      </c>
      <c r="P88" s="48" t="s">
        <v>872</v>
      </c>
      <c r="Q88" s="131" t="e">
        <f>#REF!</f>
        <v>#REF!</v>
      </c>
      <c r="R88" s="131" t="e">
        <f>#REF!</f>
        <v>#REF!</v>
      </c>
      <c r="S88" s="131" t="e">
        <f>#REF!</f>
        <v>#REF!</v>
      </c>
      <c r="T88" s="131" t="e">
        <f t="shared" ref="T88" si="55">IF(OR(S88&gt;6), "Non-acceptable","Acceptable")</f>
        <v>#REF!</v>
      </c>
      <c r="U88" s="150" t="s">
        <v>742</v>
      </c>
      <c r="V88" s="131" t="s">
        <v>724</v>
      </c>
      <c r="W88" s="131" t="s">
        <v>725</v>
      </c>
      <c r="X88" s="131" t="s">
        <v>726</v>
      </c>
    </row>
    <row r="89" spans="1:24" ht="43.5" customHeight="1">
      <c r="A89" s="141"/>
      <c r="B89" s="134"/>
      <c r="C89" s="141"/>
      <c r="D89" s="151"/>
      <c r="E89" s="141"/>
      <c r="F89" s="151"/>
      <c r="G89" s="138"/>
      <c r="H89" s="136"/>
      <c r="I89" s="134"/>
      <c r="J89" s="134"/>
      <c r="K89" s="134"/>
      <c r="L89" s="134"/>
      <c r="M89" s="134"/>
      <c r="N89" s="51" t="s">
        <v>38</v>
      </c>
      <c r="O89" s="48" t="s">
        <v>873</v>
      </c>
      <c r="P89" s="48" t="s">
        <v>874</v>
      </c>
      <c r="Q89" s="132"/>
      <c r="R89" s="132"/>
      <c r="S89" s="132"/>
      <c r="T89" s="132"/>
      <c r="U89" s="160"/>
      <c r="V89" s="132"/>
      <c r="W89" s="132"/>
      <c r="X89" s="132"/>
    </row>
    <row r="90" spans="1:24" ht="31.5" customHeight="1">
      <c r="A90" s="141"/>
      <c r="B90" s="134"/>
      <c r="C90" s="141"/>
      <c r="D90" s="152"/>
      <c r="E90" s="141"/>
      <c r="F90" s="152"/>
      <c r="G90" s="139"/>
      <c r="H90" s="136"/>
      <c r="I90" s="134"/>
      <c r="J90" s="134"/>
      <c r="K90" s="134"/>
      <c r="L90" s="134"/>
      <c r="M90" s="134"/>
      <c r="N90" s="51" t="s">
        <v>39</v>
      </c>
      <c r="O90" s="40" t="s">
        <v>284</v>
      </c>
      <c r="P90" s="41"/>
      <c r="Q90" s="133"/>
      <c r="R90" s="133"/>
      <c r="S90" s="133"/>
      <c r="T90" s="133"/>
      <c r="U90" s="161"/>
      <c r="V90" s="133"/>
      <c r="W90" s="133"/>
      <c r="X90" s="133"/>
    </row>
    <row r="91" spans="1:24" ht="39.75" customHeight="1">
      <c r="A91" s="140">
        <v>30</v>
      </c>
      <c r="B91" s="134" t="s">
        <v>403</v>
      </c>
      <c r="C91" s="143" t="s">
        <v>1010</v>
      </c>
      <c r="D91" s="150" t="s">
        <v>701</v>
      </c>
      <c r="E91" s="141" t="s">
        <v>716</v>
      </c>
      <c r="F91" s="150" t="s">
        <v>701</v>
      </c>
      <c r="G91" s="137"/>
      <c r="H91" s="135" t="s">
        <v>614</v>
      </c>
      <c r="I91" s="134" t="s">
        <v>400</v>
      </c>
      <c r="J91" s="134" t="e">
        <f>#REF!</f>
        <v>#REF!</v>
      </c>
      <c r="K91" s="134" t="e">
        <f>#REF!</f>
        <v>#REF!</v>
      </c>
      <c r="L91" s="134" t="e">
        <f>#REF!</f>
        <v>#REF!</v>
      </c>
      <c r="M91" s="134" t="e">
        <f t="shared" ref="M91" si="56">IF(OR(L91&gt;6), "Non-acceptable","Acceptable")</f>
        <v>#REF!</v>
      </c>
      <c r="N91" s="51" t="s">
        <v>37</v>
      </c>
      <c r="O91" s="40" t="s">
        <v>285</v>
      </c>
      <c r="P91" s="42"/>
      <c r="Q91" s="131" t="e">
        <f>#REF!</f>
        <v>#REF!</v>
      </c>
      <c r="R91" s="131" t="e">
        <f>#REF!</f>
        <v>#REF!</v>
      </c>
      <c r="S91" s="131" t="e">
        <f>#REF!</f>
        <v>#REF!</v>
      </c>
      <c r="T91" s="131" t="e">
        <f t="shared" ref="T91" si="57">IF(OR(S91&gt;6), "Non-acceptable","Acceptable")</f>
        <v>#REF!</v>
      </c>
      <c r="U91" s="150" t="s">
        <v>493</v>
      </c>
      <c r="V91" s="131" t="s">
        <v>724</v>
      </c>
      <c r="W91" s="131" t="s">
        <v>725</v>
      </c>
      <c r="X91" s="131" t="s">
        <v>726</v>
      </c>
    </row>
    <row r="92" spans="1:24" ht="118.15">
      <c r="A92" s="141"/>
      <c r="B92" s="134"/>
      <c r="C92" s="141"/>
      <c r="D92" s="151"/>
      <c r="E92" s="141"/>
      <c r="F92" s="151"/>
      <c r="G92" s="138"/>
      <c r="H92" s="136"/>
      <c r="I92" s="134"/>
      <c r="J92" s="134"/>
      <c r="K92" s="134"/>
      <c r="L92" s="134"/>
      <c r="M92" s="134"/>
      <c r="N92" s="51" t="s">
        <v>1011</v>
      </c>
      <c r="O92" s="40" t="s">
        <v>875</v>
      </c>
      <c r="P92" s="40" t="s">
        <v>406</v>
      </c>
      <c r="Q92" s="132"/>
      <c r="R92" s="132"/>
      <c r="S92" s="132"/>
      <c r="T92" s="132"/>
      <c r="U92" s="160"/>
      <c r="V92" s="132"/>
      <c r="W92" s="132"/>
      <c r="X92" s="132"/>
    </row>
    <row r="93" spans="1:24" ht="108.75" customHeight="1">
      <c r="A93" s="141"/>
      <c r="B93" s="134"/>
      <c r="C93" s="141"/>
      <c r="D93" s="152"/>
      <c r="E93" s="141"/>
      <c r="F93" s="152"/>
      <c r="G93" s="139"/>
      <c r="H93" s="136"/>
      <c r="I93" s="134"/>
      <c r="J93" s="134"/>
      <c r="K93" s="134"/>
      <c r="L93" s="134"/>
      <c r="M93" s="134"/>
      <c r="N93" s="51" t="s">
        <v>39</v>
      </c>
      <c r="O93" s="48" t="s">
        <v>876</v>
      </c>
      <c r="P93" s="19" t="s">
        <v>407</v>
      </c>
      <c r="Q93" s="133"/>
      <c r="R93" s="133"/>
      <c r="S93" s="133"/>
      <c r="T93" s="133"/>
      <c r="U93" s="161"/>
      <c r="V93" s="133"/>
      <c r="W93" s="133"/>
      <c r="X93" s="133"/>
    </row>
    <row r="94" spans="1:24" ht="41.25" customHeight="1">
      <c r="A94" s="140">
        <v>31</v>
      </c>
      <c r="B94" s="134" t="s">
        <v>506</v>
      </c>
      <c r="C94" s="143" t="s">
        <v>1010</v>
      </c>
      <c r="D94" s="150" t="s">
        <v>615</v>
      </c>
      <c r="E94" s="141" t="s">
        <v>716</v>
      </c>
      <c r="F94" s="150" t="s">
        <v>615</v>
      </c>
      <c r="G94" s="137"/>
      <c r="H94" s="135" t="s">
        <v>286</v>
      </c>
      <c r="I94" s="134" t="s">
        <v>409</v>
      </c>
      <c r="J94" s="134" t="e">
        <f>#REF!</f>
        <v>#REF!</v>
      </c>
      <c r="K94" s="134" t="e">
        <f>#REF!</f>
        <v>#REF!</v>
      </c>
      <c r="L94" s="134" t="e">
        <f>#REF!</f>
        <v>#REF!</v>
      </c>
      <c r="M94" s="134" t="e">
        <f t="shared" ref="M94" si="58">IF(OR(L94&gt;6), "Non-acceptable","Acceptable")</f>
        <v>#REF!</v>
      </c>
      <c r="N94" s="51" t="s">
        <v>37</v>
      </c>
      <c r="O94" s="48" t="s">
        <v>287</v>
      </c>
      <c r="P94" s="42"/>
      <c r="Q94" s="131" t="e">
        <f>#REF!</f>
        <v>#REF!</v>
      </c>
      <c r="R94" s="131" t="e">
        <f>#REF!</f>
        <v>#REF!</v>
      </c>
      <c r="S94" s="131" t="e">
        <f>#REF!</f>
        <v>#REF!</v>
      </c>
      <c r="T94" s="131" t="e">
        <f t="shared" ref="T94" si="59">IF(OR(S94&gt;6), "Non-acceptable","Acceptable")</f>
        <v>#REF!</v>
      </c>
      <c r="U94" s="150" t="s">
        <v>742</v>
      </c>
      <c r="V94" s="131" t="s">
        <v>724</v>
      </c>
      <c r="W94" s="131" t="s">
        <v>725</v>
      </c>
      <c r="X94" s="131" t="s">
        <v>726</v>
      </c>
    </row>
    <row r="95" spans="1:24" ht="57.75" customHeight="1">
      <c r="A95" s="141"/>
      <c r="B95" s="134"/>
      <c r="C95" s="141"/>
      <c r="D95" s="151"/>
      <c r="E95" s="141"/>
      <c r="F95" s="151"/>
      <c r="G95" s="138"/>
      <c r="H95" s="136"/>
      <c r="I95" s="134"/>
      <c r="J95" s="134"/>
      <c r="K95" s="134"/>
      <c r="L95" s="134"/>
      <c r="M95" s="134"/>
      <c r="N95" s="51" t="s">
        <v>38</v>
      </c>
      <c r="O95" s="40" t="s">
        <v>877</v>
      </c>
      <c r="P95" s="40" t="s">
        <v>878</v>
      </c>
      <c r="Q95" s="132"/>
      <c r="R95" s="132"/>
      <c r="S95" s="132"/>
      <c r="T95" s="132"/>
      <c r="U95" s="160"/>
      <c r="V95" s="132"/>
      <c r="W95" s="132"/>
      <c r="X95" s="132"/>
    </row>
    <row r="96" spans="1:24" ht="32.25" customHeight="1">
      <c r="A96" s="141"/>
      <c r="B96" s="134"/>
      <c r="C96" s="141"/>
      <c r="D96" s="152"/>
      <c r="E96" s="141"/>
      <c r="F96" s="152"/>
      <c r="G96" s="139"/>
      <c r="H96" s="136"/>
      <c r="I96" s="134"/>
      <c r="J96" s="134"/>
      <c r="K96" s="134"/>
      <c r="L96" s="134"/>
      <c r="M96" s="134"/>
      <c r="N96" s="51" t="s">
        <v>39</v>
      </c>
      <c r="O96" s="48" t="s">
        <v>284</v>
      </c>
      <c r="P96" s="41"/>
      <c r="Q96" s="133"/>
      <c r="R96" s="133"/>
      <c r="S96" s="133"/>
      <c r="T96" s="133"/>
      <c r="U96" s="161"/>
      <c r="V96" s="133"/>
      <c r="W96" s="133"/>
      <c r="X96" s="133"/>
    </row>
    <row r="97" spans="1:24" ht="33" customHeight="1">
      <c r="A97" s="140">
        <v>32</v>
      </c>
      <c r="B97" s="134" t="s">
        <v>305</v>
      </c>
      <c r="C97" s="143" t="s">
        <v>1010</v>
      </c>
      <c r="D97" s="150" t="s">
        <v>617</v>
      </c>
      <c r="E97" s="141" t="s">
        <v>716</v>
      </c>
      <c r="F97" s="150" t="s">
        <v>617</v>
      </c>
      <c r="G97" s="137"/>
      <c r="H97" s="135" t="s">
        <v>306</v>
      </c>
      <c r="I97" s="134" t="s">
        <v>90</v>
      </c>
      <c r="J97" s="134" t="e">
        <f>#REF!</f>
        <v>#REF!</v>
      </c>
      <c r="K97" s="134" t="e">
        <f>#REF!</f>
        <v>#REF!</v>
      </c>
      <c r="L97" s="134" t="e">
        <f>#REF!</f>
        <v>#REF!</v>
      </c>
      <c r="M97" s="134" t="e">
        <f t="shared" ref="M97" si="60">IF(OR(L97&gt;6), "Non-acceptable","Acceptable")</f>
        <v>#REF!</v>
      </c>
      <c r="N97" s="51" t="s">
        <v>37</v>
      </c>
      <c r="O97" s="40" t="s">
        <v>285</v>
      </c>
      <c r="P97" s="42"/>
      <c r="Q97" s="131" t="e">
        <f>#REF!</f>
        <v>#REF!</v>
      </c>
      <c r="R97" s="131" t="e">
        <f>#REF!</f>
        <v>#REF!</v>
      </c>
      <c r="S97" s="131" t="e">
        <f>#REF!</f>
        <v>#REF!</v>
      </c>
      <c r="T97" s="131" t="e">
        <f t="shared" ref="T97" si="61">IF(OR(S97&gt;6), "Non-acceptable","Acceptable")</f>
        <v>#REF!</v>
      </c>
      <c r="U97" s="150" t="s">
        <v>742</v>
      </c>
      <c r="V97" s="131" t="s">
        <v>724</v>
      </c>
      <c r="W97" s="131" t="s">
        <v>725</v>
      </c>
      <c r="X97" s="131" t="s">
        <v>726</v>
      </c>
    </row>
    <row r="98" spans="1:24" ht="65.650000000000006">
      <c r="A98" s="141"/>
      <c r="B98" s="134"/>
      <c r="C98" s="141"/>
      <c r="D98" s="151"/>
      <c r="E98" s="141"/>
      <c r="F98" s="151"/>
      <c r="G98" s="138"/>
      <c r="H98" s="136"/>
      <c r="I98" s="134"/>
      <c r="J98" s="134"/>
      <c r="K98" s="134"/>
      <c r="L98" s="134"/>
      <c r="M98" s="134"/>
      <c r="N98" s="51" t="s">
        <v>38</v>
      </c>
      <c r="O98" s="40" t="s">
        <v>289</v>
      </c>
      <c r="P98" s="40" t="s">
        <v>288</v>
      </c>
      <c r="Q98" s="132"/>
      <c r="R98" s="132"/>
      <c r="S98" s="132"/>
      <c r="T98" s="132"/>
      <c r="U98" s="160"/>
      <c r="V98" s="132"/>
      <c r="W98" s="132"/>
      <c r="X98" s="132"/>
    </row>
    <row r="99" spans="1:24" ht="22.5" customHeight="1">
      <c r="A99" s="141"/>
      <c r="B99" s="134"/>
      <c r="C99" s="141"/>
      <c r="D99" s="152"/>
      <c r="E99" s="141"/>
      <c r="F99" s="152"/>
      <c r="G99" s="139"/>
      <c r="H99" s="136"/>
      <c r="I99" s="134"/>
      <c r="J99" s="134"/>
      <c r="K99" s="134"/>
      <c r="L99" s="134"/>
      <c r="M99" s="134"/>
      <c r="N99" s="51" t="s">
        <v>39</v>
      </c>
      <c r="O99" s="40" t="s">
        <v>284</v>
      </c>
      <c r="P99" s="41"/>
      <c r="Q99" s="133"/>
      <c r="R99" s="133"/>
      <c r="S99" s="133"/>
      <c r="T99" s="133"/>
      <c r="U99" s="161"/>
      <c r="V99" s="133"/>
      <c r="W99" s="133"/>
      <c r="X99" s="133"/>
    </row>
    <row r="100" spans="1:24" ht="40.5" customHeight="1">
      <c r="A100" s="140">
        <v>33</v>
      </c>
      <c r="B100" s="134" t="s">
        <v>85</v>
      </c>
      <c r="C100" s="143" t="s">
        <v>1010</v>
      </c>
      <c r="D100" s="153" t="s">
        <v>618</v>
      </c>
      <c r="E100" s="141" t="s">
        <v>716</v>
      </c>
      <c r="F100" s="153" t="s">
        <v>618</v>
      </c>
      <c r="G100" s="137"/>
      <c r="H100" s="135" t="s">
        <v>616</v>
      </c>
      <c r="I100" s="134" t="s">
        <v>86</v>
      </c>
      <c r="J100" s="134" t="e">
        <f>#REF!</f>
        <v>#REF!</v>
      </c>
      <c r="K100" s="134" t="e">
        <f>#REF!</f>
        <v>#REF!</v>
      </c>
      <c r="L100" s="134" t="e">
        <f>#REF!</f>
        <v>#REF!</v>
      </c>
      <c r="M100" s="134" t="e">
        <f t="shared" ref="M100" si="62">IF(OR(L100&gt;6), "Non-acceptable","Acceptable")</f>
        <v>#REF!</v>
      </c>
      <c r="N100" s="51" t="s">
        <v>37</v>
      </c>
      <c r="O100" s="48" t="s">
        <v>285</v>
      </c>
      <c r="P100" s="40"/>
      <c r="Q100" s="131" t="e">
        <f>#REF!</f>
        <v>#REF!</v>
      </c>
      <c r="R100" s="131" t="e">
        <f>#REF!</f>
        <v>#REF!</v>
      </c>
      <c r="S100" s="131" t="e">
        <f>#REF!</f>
        <v>#REF!</v>
      </c>
      <c r="T100" s="131" t="e">
        <f t="shared" ref="T100" si="63">IF(OR(S100&gt;6), "Non-acceptable","Acceptable")</f>
        <v>#REF!</v>
      </c>
      <c r="U100" s="150" t="s">
        <v>742</v>
      </c>
      <c r="V100" s="131" t="s">
        <v>724</v>
      </c>
      <c r="W100" s="131" t="s">
        <v>725</v>
      </c>
      <c r="X100" s="131" t="s">
        <v>726</v>
      </c>
    </row>
    <row r="101" spans="1:24" ht="144.4">
      <c r="A101" s="141"/>
      <c r="B101" s="134"/>
      <c r="C101" s="141"/>
      <c r="D101" s="146"/>
      <c r="E101" s="141"/>
      <c r="F101" s="146"/>
      <c r="G101" s="138"/>
      <c r="H101" s="136"/>
      <c r="I101" s="134"/>
      <c r="J101" s="134"/>
      <c r="K101" s="134"/>
      <c r="L101" s="134"/>
      <c r="M101" s="134"/>
      <c r="N101" s="51" t="s">
        <v>38</v>
      </c>
      <c r="O101" s="40" t="s">
        <v>527</v>
      </c>
      <c r="P101" s="40" t="s">
        <v>310</v>
      </c>
      <c r="Q101" s="132"/>
      <c r="R101" s="132"/>
      <c r="S101" s="132"/>
      <c r="T101" s="132"/>
      <c r="U101" s="160"/>
      <c r="V101" s="132"/>
      <c r="W101" s="132"/>
      <c r="X101" s="132"/>
    </row>
    <row r="102" spans="1:24" ht="30" customHeight="1">
      <c r="A102" s="141"/>
      <c r="B102" s="134"/>
      <c r="C102" s="141"/>
      <c r="D102" s="147"/>
      <c r="E102" s="141"/>
      <c r="F102" s="147"/>
      <c r="G102" s="139"/>
      <c r="H102" s="136"/>
      <c r="I102" s="134"/>
      <c r="J102" s="134"/>
      <c r="K102" s="134"/>
      <c r="L102" s="134"/>
      <c r="M102" s="134"/>
      <c r="N102" s="51" t="s">
        <v>39</v>
      </c>
      <c r="O102" s="48" t="s">
        <v>284</v>
      </c>
      <c r="P102" s="41"/>
      <c r="Q102" s="133"/>
      <c r="R102" s="133"/>
      <c r="S102" s="133"/>
      <c r="T102" s="133"/>
      <c r="U102" s="161"/>
      <c r="V102" s="133"/>
      <c r="W102" s="133"/>
      <c r="X102" s="133"/>
    </row>
    <row r="103" spans="1:24" ht="37.5" customHeight="1">
      <c r="A103" s="140">
        <v>34</v>
      </c>
      <c r="B103" s="134" t="s">
        <v>85</v>
      </c>
      <c r="C103" s="143" t="s">
        <v>1012</v>
      </c>
      <c r="D103" s="153" t="s">
        <v>702</v>
      </c>
      <c r="E103" s="141" t="s">
        <v>716</v>
      </c>
      <c r="F103" s="153" t="s">
        <v>702</v>
      </c>
      <c r="G103" s="137"/>
      <c r="H103" s="137" t="s">
        <v>311</v>
      </c>
      <c r="I103" s="134" t="s">
        <v>86</v>
      </c>
      <c r="J103" s="134" t="e">
        <f>#REF!</f>
        <v>#REF!</v>
      </c>
      <c r="K103" s="134" t="e">
        <f>#REF!</f>
        <v>#REF!</v>
      </c>
      <c r="L103" s="134" t="e">
        <f>#REF!</f>
        <v>#REF!</v>
      </c>
      <c r="M103" s="134" t="e">
        <f t="shared" ref="M103" si="64">IF(OR(L103&gt;6), "Non-acceptable","Acceptable")</f>
        <v>#REF!</v>
      </c>
      <c r="N103" s="51" t="s">
        <v>37</v>
      </c>
      <c r="O103" s="48" t="s">
        <v>528</v>
      </c>
      <c r="P103" s="48" t="s">
        <v>524</v>
      </c>
      <c r="Q103" s="131" t="e">
        <f>#REF!</f>
        <v>#REF!</v>
      </c>
      <c r="R103" s="131" t="e">
        <f>#REF!</f>
        <v>#REF!</v>
      </c>
      <c r="S103" s="131" t="e">
        <f>#REF!</f>
        <v>#REF!</v>
      </c>
      <c r="T103" s="131" t="e">
        <f t="shared" ref="T103" si="65">IF(OR(S103&gt;6), "Non-acceptable","Acceptable")</f>
        <v>#REF!</v>
      </c>
      <c r="U103" s="150" t="s">
        <v>742</v>
      </c>
      <c r="V103" s="131" t="s">
        <v>724</v>
      </c>
      <c r="W103" s="131" t="s">
        <v>725</v>
      </c>
      <c r="X103" s="131" t="s">
        <v>726</v>
      </c>
    </row>
    <row r="104" spans="1:24" ht="117.75" customHeight="1">
      <c r="A104" s="141"/>
      <c r="B104" s="134"/>
      <c r="C104" s="143"/>
      <c r="D104" s="146"/>
      <c r="E104" s="141"/>
      <c r="F104" s="146"/>
      <c r="G104" s="138"/>
      <c r="H104" s="132"/>
      <c r="I104" s="134"/>
      <c r="J104" s="134"/>
      <c r="K104" s="134"/>
      <c r="L104" s="134"/>
      <c r="M104" s="134"/>
      <c r="N104" s="51" t="s">
        <v>38</v>
      </c>
      <c r="O104" s="40" t="s">
        <v>879</v>
      </c>
      <c r="P104" s="40" t="s">
        <v>880</v>
      </c>
      <c r="Q104" s="132"/>
      <c r="R104" s="132"/>
      <c r="S104" s="132"/>
      <c r="T104" s="132"/>
      <c r="U104" s="160"/>
      <c r="V104" s="132"/>
      <c r="W104" s="132"/>
      <c r="X104" s="132"/>
    </row>
    <row r="105" spans="1:24" ht="31.5" customHeight="1">
      <c r="A105" s="141"/>
      <c r="B105" s="134"/>
      <c r="C105" s="143"/>
      <c r="D105" s="147"/>
      <c r="E105" s="141"/>
      <c r="F105" s="147"/>
      <c r="G105" s="139"/>
      <c r="H105" s="133"/>
      <c r="I105" s="134"/>
      <c r="J105" s="134"/>
      <c r="K105" s="134"/>
      <c r="L105" s="134"/>
      <c r="M105" s="134"/>
      <c r="N105" s="51" t="s">
        <v>39</v>
      </c>
      <c r="O105" s="48" t="s">
        <v>284</v>
      </c>
      <c r="P105" s="41"/>
      <c r="Q105" s="133"/>
      <c r="R105" s="133"/>
      <c r="S105" s="133"/>
      <c r="T105" s="133"/>
      <c r="U105" s="161"/>
      <c r="V105" s="133"/>
      <c r="W105" s="133"/>
      <c r="X105" s="133"/>
    </row>
    <row r="106" spans="1:24" ht="42" customHeight="1">
      <c r="A106" s="140">
        <v>35</v>
      </c>
      <c r="B106" s="134" t="s">
        <v>85</v>
      </c>
      <c r="C106" s="143" t="s">
        <v>1010</v>
      </c>
      <c r="D106" s="135" t="s">
        <v>481</v>
      </c>
      <c r="E106" s="141" t="s">
        <v>716</v>
      </c>
      <c r="F106" s="135" t="s">
        <v>481</v>
      </c>
      <c r="G106" s="137"/>
      <c r="H106" s="135" t="s">
        <v>619</v>
      </c>
      <c r="I106" s="134" t="s">
        <v>86</v>
      </c>
      <c r="J106" s="134"/>
      <c r="K106" s="134" t="e">
        <f>#REF!</f>
        <v>#REF!</v>
      </c>
      <c r="L106" s="134" t="e">
        <f>#REF!</f>
        <v>#REF!</v>
      </c>
      <c r="M106" s="134" t="e">
        <f t="shared" ref="M106" si="66">IF(OR(L106&gt;6), "Non-acceptable","Acceptable")</f>
        <v>#REF!</v>
      </c>
      <c r="N106" s="51" t="s">
        <v>37</v>
      </c>
      <c r="O106" s="48" t="s">
        <v>285</v>
      </c>
      <c r="P106" s="60"/>
      <c r="Q106" s="131" t="e">
        <f>#REF!</f>
        <v>#REF!</v>
      </c>
      <c r="R106" s="131" t="e">
        <f>#REF!</f>
        <v>#REF!</v>
      </c>
      <c r="S106" s="131" t="e">
        <f>#REF!</f>
        <v>#REF!</v>
      </c>
      <c r="T106" s="131" t="e">
        <f t="shared" ref="T106" si="67">IF(OR(S106&gt;6), "Non-acceptable","Acceptable")</f>
        <v>#REF!</v>
      </c>
      <c r="U106" s="150" t="s">
        <v>742</v>
      </c>
      <c r="V106" s="131" t="s">
        <v>724</v>
      </c>
      <c r="W106" s="131" t="s">
        <v>725</v>
      </c>
      <c r="X106" s="131" t="s">
        <v>726</v>
      </c>
    </row>
    <row r="107" spans="1:24" ht="135" customHeight="1">
      <c r="A107" s="141"/>
      <c r="B107" s="134"/>
      <c r="C107" s="141"/>
      <c r="D107" s="136"/>
      <c r="E107" s="141"/>
      <c r="F107" s="136"/>
      <c r="G107" s="138"/>
      <c r="H107" s="136"/>
      <c r="I107" s="134"/>
      <c r="J107" s="134"/>
      <c r="K107" s="134"/>
      <c r="L107" s="134"/>
      <c r="M107" s="134"/>
      <c r="N107" s="51" t="s">
        <v>38</v>
      </c>
      <c r="O107" s="40" t="s">
        <v>314</v>
      </c>
      <c r="P107" s="40" t="s">
        <v>315</v>
      </c>
      <c r="Q107" s="132"/>
      <c r="R107" s="132"/>
      <c r="S107" s="132"/>
      <c r="T107" s="132"/>
      <c r="U107" s="160"/>
      <c r="V107" s="132"/>
      <c r="W107" s="132"/>
      <c r="X107" s="132"/>
    </row>
    <row r="108" spans="1:24" ht="32.25" customHeight="1">
      <c r="A108" s="141"/>
      <c r="B108" s="134"/>
      <c r="C108" s="141"/>
      <c r="D108" s="136"/>
      <c r="E108" s="141"/>
      <c r="F108" s="136"/>
      <c r="G108" s="139"/>
      <c r="H108" s="136"/>
      <c r="I108" s="134"/>
      <c r="J108" s="134"/>
      <c r="K108" s="134"/>
      <c r="L108" s="134"/>
      <c r="M108" s="134"/>
      <c r="N108" s="51" t="s">
        <v>39</v>
      </c>
      <c r="O108" s="48" t="s">
        <v>284</v>
      </c>
      <c r="P108" s="41"/>
      <c r="Q108" s="133"/>
      <c r="R108" s="133"/>
      <c r="S108" s="133"/>
      <c r="T108" s="133"/>
      <c r="U108" s="161"/>
      <c r="V108" s="133"/>
      <c r="W108" s="133"/>
      <c r="X108" s="133"/>
    </row>
    <row r="109" spans="1:24" ht="32.450000000000003" customHeight="1">
      <c r="A109" s="140">
        <v>36</v>
      </c>
      <c r="B109" s="134" t="s">
        <v>305</v>
      </c>
      <c r="C109" s="148" t="s">
        <v>1013</v>
      </c>
      <c r="D109" s="145" t="s">
        <v>620</v>
      </c>
      <c r="E109" s="141" t="s">
        <v>412</v>
      </c>
      <c r="F109" s="145" t="s">
        <v>620</v>
      </c>
      <c r="G109" s="137"/>
      <c r="H109" s="153" t="s">
        <v>621</v>
      </c>
      <c r="I109" s="131" t="s">
        <v>411</v>
      </c>
      <c r="J109" s="134" t="e">
        <f>#REF!</f>
        <v>#REF!</v>
      </c>
      <c r="K109" s="134" t="e">
        <f>#REF!</f>
        <v>#REF!</v>
      </c>
      <c r="L109" s="134" t="e">
        <f>#REF!</f>
        <v>#REF!</v>
      </c>
      <c r="M109" s="134" t="e">
        <f t="shared" ref="M109" si="68">IF(OR(L109&gt;6), "Non-acceptable","Acceptable")</f>
        <v>#REF!</v>
      </c>
      <c r="N109" s="51" t="s">
        <v>0</v>
      </c>
      <c r="O109" s="48" t="s">
        <v>299</v>
      </c>
      <c r="P109" s="40"/>
      <c r="Q109" s="131" t="e">
        <f>#REF!</f>
        <v>#REF!</v>
      </c>
      <c r="R109" s="131" t="e">
        <f>#REF!</f>
        <v>#REF!</v>
      </c>
      <c r="S109" s="131" t="e">
        <f>#REF!</f>
        <v>#REF!</v>
      </c>
      <c r="T109" s="131" t="e">
        <f t="shared" ref="T109" si="69">IF(OR(S109&gt;6), "Non-acceptable","Acceptable")</f>
        <v>#REF!</v>
      </c>
      <c r="U109" s="159" t="s">
        <v>743</v>
      </c>
      <c r="V109" s="131" t="s">
        <v>724</v>
      </c>
      <c r="W109" s="131" t="s">
        <v>725</v>
      </c>
      <c r="X109" s="131" t="s">
        <v>726</v>
      </c>
    </row>
    <row r="110" spans="1:24" ht="39.75" customHeight="1">
      <c r="A110" s="141"/>
      <c r="B110" s="134"/>
      <c r="C110" s="172"/>
      <c r="D110" s="146"/>
      <c r="E110" s="167"/>
      <c r="F110" s="146"/>
      <c r="G110" s="138"/>
      <c r="H110" s="154"/>
      <c r="I110" s="132"/>
      <c r="J110" s="134"/>
      <c r="K110" s="134"/>
      <c r="L110" s="134"/>
      <c r="M110" s="134"/>
      <c r="N110" s="51" t="s">
        <v>1</v>
      </c>
      <c r="O110" s="48" t="s">
        <v>300</v>
      </c>
      <c r="P110" s="48"/>
      <c r="Q110" s="132"/>
      <c r="R110" s="132"/>
      <c r="S110" s="132"/>
      <c r="T110" s="132"/>
      <c r="U110" s="160"/>
      <c r="V110" s="132"/>
      <c r="W110" s="132"/>
      <c r="X110" s="132"/>
    </row>
    <row r="111" spans="1:24" ht="161.25" customHeight="1">
      <c r="A111" s="141"/>
      <c r="B111" s="134"/>
      <c r="C111" s="173"/>
      <c r="D111" s="147"/>
      <c r="E111" s="168"/>
      <c r="F111" s="147"/>
      <c r="G111" s="139"/>
      <c r="H111" s="155"/>
      <c r="I111" s="133"/>
      <c r="J111" s="134"/>
      <c r="K111" s="134"/>
      <c r="L111" s="134"/>
      <c r="M111" s="134"/>
      <c r="N111" s="51" t="s">
        <v>2</v>
      </c>
      <c r="O111" s="48" t="s">
        <v>1014</v>
      </c>
      <c r="P111" s="19" t="s">
        <v>410</v>
      </c>
      <c r="Q111" s="133"/>
      <c r="R111" s="133"/>
      <c r="S111" s="133"/>
      <c r="T111" s="133"/>
      <c r="U111" s="161"/>
      <c r="V111" s="133"/>
      <c r="W111" s="133"/>
      <c r="X111" s="133"/>
    </row>
    <row r="112" spans="1:24" ht="40.5" customHeight="1">
      <c r="A112" s="140">
        <v>37</v>
      </c>
      <c r="B112" s="134" t="s">
        <v>444</v>
      </c>
      <c r="C112" s="148" t="s">
        <v>1013</v>
      </c>
      <c r="D112" s="145" t="s">
        <v>622</v>
      </c>
      <c r="E112" s="141" t="s">
        <v>412</v>
      </c>
      <c r="F112" s="145" t="s">
        <v>622</v>
      </c>
      <c r="G112" s="137"/>
      <c r="H112" s="153" t="s">
        <v>301</v>
      </c>
      <c r="I112" s="131" t="s">
        <v>414</v>
      </c>
      <c r="J112" s="134" t="e">
        <f>#REF!</f>
        <v>#REF!</v>
      </c>
      <c r="K112" s="134" t="e">
        <f>#REF!</f>
        <v>#REF!</v>
      </c>
      <c r="L112" s="134" t="e">
        <f>#REF!</f>
        <v>#REF!</v>
      </c>
      <c r="M112" s="134" t="e">
        <f t="shared" ref="M112" si="70">IF(OR(L112&gt;6), "Non-acceptable","Acceptable")</f>
        <v>#REF!</v>
      </c>
      <c r="N112" s="51" t="s">
        <v>0</v>
      </c>
      <c r="O112" s="48" t="s">
        <v>299</v>
      </c>
      <c r="P112" s="40"/>
      <c r="Q112" s="131" t="e">
        <f>#REF!</f>
        <v>#REF!</v>
      </c>
      <c r="R112" s="131" t="e">
        <f>#REF!</f>
        <v>#REF!</v>
      </c>
      <c r="S112" s="131" t="e">
        <f>#REF!</f>
        <v>#REF!</v>
      </c>
      <c r="T112" s="131" t="e">
        <f t="shared" ref="T112" si="71">IF(OR(S112&gt;6), "Non-acceptable","Acceptable")</f>
        <v>#REF!</v>
      </c>
      <c r="U112" s="159" t="s">
        <v>744</v>
      </c>
      <c r="V112" s="131" t="s">
        <v>793</v>
      </c>
      <c r="W112" s="131" t="s">
        <v>725</v>
      </c>
      <c r="X112" s="131" t="s">
        <v>726</v>
      </c>
    </row>
    <row r="113" spans="1:24" ht="40.5" customHeight="1">
      <c r="A113" s="141"/>
      <c r="B113" s="134"/>
      <c r="C113" s="172"/>
      <c r="D113" s="146"/>
      <c r="E113" s="167"/>
      <c r="F113" s="146"/>
      <c r="G113" s="138"/>
      <c r="H113" s="154"/>
      <c r="I113" s="132"/>
      <c r="J113" s="134"/>
      <c r="K113" s="134"/>
      <c r="L113" s="134"/>
      <c r="M113" s="134"/>
      <c r="N113" s="51" t="s">
        <v>1</v>
      </c>
      <c r="O113" s="48" t="s">
        <v>300</v>
      </c>
      <c r="P113" s="48"/>
      <c r="Q113" s="132"/>
      <c r="R113" s="132"/>
      <c r="S113" s="132"/>
      <c r="T113" s="132"/>
      <c r="U113" s="160"/>
      <c r="V113" s="132"/>
      <c r="W113" s="132"/>
      <c r="X113" s="132"/>
    </row>
    <row r="114" spans="1:24" ht="52.5" customHeight="1">
      <c r="A114" s="141"/>
      <c r="B114" s="134"/>
      <c r="C114" s="173"/>
      <c r="D114" s="147"/>
      <c r="E114" s="168"/>
      <c r="F114" s="147"/>
      <c r="G114" s="139"/>
      <c r="H114" s="155"/>
      <c r="I114" s="133"/>
      <c r="J114" s="134"/>
      <c r="K114" s="134"/>
      <c r="L114" s="134"/>
      <c r="M114" s="134"/>
      <c r="N114" s="51" t="s">
        <v>2</v>
      </c>
      <c r="O114" s="40" t="s">
        <v>413</v>
      </c>
      <c r="P114" s="19" t="s">
        <v>410</v>
      </c>
      <c r="Q114" s="133"/>
      <c r="R114" s="133"/>
      <c r="S114" s="133"/>
      <c r="T114" s="133"/>
      <c r="U114" s="161"/>
      <c r="V114" s="133"/>
      <c r="W114" s="133"/>
      <c r="X114" s="133"/>
    </row>
    <row r="115" spans="1:24" ht="39.75" customHeight="1">
      <c r="A115" s="140">
        <v>38</v>
      </c>
      <c r="B115" s="134" t="s">
        <v>445</v>
      </c>
      <c r="C115" s="134" t="s">
        <v>1015</v>
      </c>
      <c r="D115" s="183" t="s">
        <v>1016</v>
      </c>
      <c r="E115" s="141" t="s">
        <v>716</v>
      </c>
      <c r="F115" s="183" t="s">
        <v>1016</v>
      </c>
      <c r="G115" s="137"/>
      <c r="H115" s="135" t="s">
        <v>623</v>
      </c>
      <c r="I115" s="134" t="s">
        <v>92</v>
      </c>
      <c r="J115" s="134" t="e">
        <f>#REF!</f>
        <v>#REF!</v>
      </c>
      <c r="K115" s="134" t="e">
        <f>#REF!</f>
        <v>#REF!</v>
      </c>
      <c r="L115" s="134" t="e">
        <f>#REF!</f>
        <v>#REF!</v>
      </c>
      <c r="M115" s="134" t="e">
        <f t="shared" ref="M115" si="72">IF(OR(L115&gt;6), "Non-acceptable","Acceptable")</f>
        <v>#REF!</v>
      </c>
      <c r="N115" s="51" t="s">
        <v>37</v>
      </c>
      <c r="O115" s="48" t="s">
        <v>285</v>
      </c>
      <c r="P115" s="42"/>
      <c r="Q115" s="131" t="e">
        <f>#REF!</f>
        <v>#REF!</v>
      </c>
      <c r="R115" s="131" t="e">
        <f>#REF!</f>
        <v>#REF!</v>
      </c>
      <c r="S115" s="131" t="e">
        <f>#REF!</f>
        <v>#REF!</v>
      </c>
      <c r="T115" s="131" t="e">
        <f t="shared" ref="T115" si="73">IF(OR(S115&gt;6), "Non-acceptable","Acceptable")</f>
        <v>#REF!</v>
      </c>
      <c r="U115" s="159" t="s">
        <v>745</v>
      </c>
      <c r="V115" s="131" t="s">
        <v>724</v>
      </c>
      <c r="W115" s="131" t="s">
        <v>725</v>
      </c>
      <c r="X115" s="131" t="s">
        <v>726</v>
      </c>
    </row>
    <row r="116" spans="1:24" ht="105">
      <c r="A116" s="141"/>
      <c r="B116" s="141"/>
      <c r="C116" s="141"/>
      <c r="D116" s="151"/>
      <c r="E116" s="141"/>
      <c r="F116" s="151"/>
      <c r="G116" s="138"/>
      <c r="H116" s="136"/>
      <c r="I116" s="134"/>
      <c r="J116" s="134"/>
      <c r="K116" s="134"/>
      <c r="L116" s="134"/>
      <c r="M116" s="134"/>
      <c r="N116" s="51" t="s">
        <v>1011</v>
      </c>
      <c r="O116" s="40" t="s">
        <v>881</v>
      </c>
      <c r="P116" s="40" t="s">
        <v>529</v>
      </c>
      <c r="Q116" s="132"/>
      <c r="R116" s="132"/>
      <c r="S116" s="132"/>
      <c r="T116" s="132"/>
      <c r="U116" s="160"/>
      <c r="V116" s="132"/>
      <c r="W116" s="132"/>
      <c r="X116" s="132"/>
    </row>
    <row r="117" spans="1:24" ht="109.5" customHeight="1">
      <c r="A117" s="141"/>
      <c r="B117" s="141"/>
      <c r="C117" s="141"/>
      <c r="D117" s="152"/>
      <c r="E117" s="141"/>
      <c r="F117" s="152"/>
      <c r="G117" s="139"/>
      <c r="H117" s="136"/>
      <c r="I117" s="134"/>
      <c r="J117" s="134"/>
      <c r="K117" s="134"/>
      <c r="L117" s="134"/>
      <c r="M117" s="134"/>
      <c r="N117" s="51" t="s">
        <v>39</v>
      </c>
      <c r="O117" s="40" t="s">
        <v>493</v>
      </c>
      <c r="P117" s="19" t="s">
        <v>405</v>
      </c>
      <c r="Q117" s="133"/>
      <c r="R117" s="133"/>
      <c r="S117" s="133"/>
      <c r="T117" s="133"/>
      <c r="U117" s="161"/>
      <c r="V117" s="133"/>
      <c r="W117" s="133"/>
      <c r="X117" s="133"/>
    </row>
    <row r="118" spans="1:24" ht="40.5" customHeight="1">
      <c r="A118" s="140">
        <v>39</v>
      </c>
      <c r="B118" s="134" t="s">
        <v>445</v>
      </c>
      <c r="C118" s="143" t="s">
        <v>1017</v>
      </c>
      <c r="D118" s="135" t="s">
        <v>882</v>
      </c>
      <c r="E118" s="141" t="s">
        <v>40</v>
      </c>
      <c r="F118" s="135" t="s">
        <v>882</v>
      </c>
      <c r="G118" s="137"/>
      <c r="H118" s="135" t="s">
        <v>623</v>
      </c>
      <c r="I118" s="131" t="s">
        <v>92</v>
      </c>
      <c r="J118" s="134" t="e">
        <f>#REF!</f>
        <v>#REF!</v>
      </c>
      <c r="K118" s="134" t="e">
        <f>#REF!</f>
        <v>#REF!</v>
      </c>
      <c r="L118" s="134" t="e">
        <f>#REF!</f>
        <v>#REF!</v>
      </c>
      <c r="M118" s="134" t="e">
        <f t="shared" ref="M118" si="74">IF(OR(L118&gt;6), "Non-acceptable","Acceptable")</f>
        <v>#REF!</v>
      </c>
      <c r="N118" s="51" t="s">
        <v>37</v>
      </c>
      <c r="O118" s="48" t="s">
        <v>270</v>
      </c>
      <c r="P118" s="40" t="s">
        <v>79</v>
      </c>
      <c r="Q118" s="131" t="e">
        <f>#REF!</f>
        <v>#REF!</v>
      </c>
      <c r="R118" s="131" t="e">
        <f>#REF!</f>
        <v>#REF!</v>
      </c>
      <c r="S118" s="131" t="e">
        <f>#REF!</f>
        <v>#REF!</v>
      </c>
      <c r="T118" s="131" t="e">
        <f t="shared" ref="T118" si="75">IF(OR(S118&gt;6), "Non-acceptable","Acceptable")</f>
        <v>#REF!</v>
      </c>
      <c r="U118" s="159" t="s">
        <v>746</v>
      </c>
      <c r="V118" s="131" t="s">
        <v>724</v>
      </c>
      <c r="W118" s="131" t="s">
        <v>725</v>
      </c>
      <c r="X118" s="131" t="s">
        <v>726</v>
      </c>
    </row>
    <row r="119" spans="1:24" ht="30" customHeight="1">
      <c r="A119" s="141"/>
      <c r="B119" s="141"/>
      <c r="C119" s="141"/>
      <c r="D119" s="136"/>
      <c r="E119" s="141"/>
      <c r="F119" s="136"/>
      <c r="G119" s="138"/>
      <c r="H119" s="136"/>
      <c r="I119" s="132"/>
      <c r="J119" s="134"/>
      <c r="K119" s="134"/>
      <c r="L119" s="134"/>
      <c r="M119" s="134"/>
      <c r="N119" s="51" t="s">
        <v>38</v>
      </c>
      <c r="O119" s="48" t="s">
        <v>272</v>
      </c>
      <c r="P119" s="40"/>
      <c r="Q119" s="132"/>
      <c r="R119" s="132"/>
      <c r="S119" s="132"/>
      <c r="T119" s="132"/>
      <c r="U119" s="160"/>
      <c r="V119" s="132"/>
      <c r="W119" s="132"/>
      <c r="X119" s="132"/>
    </row>
    <row r="120" spans="1:24" ht="195.75" customHeight="1">
      <c r="A120" s="141"/>
      <c r="B120" s="141"/>
      <c r="C120" s="141"/>
      <c r="D120" s="136"/>
      <c r="E120" s="141"/>
      <c r="F120" s="136"/>
      <c r="G120" s="139"/>
      <c r="H120" s="136"/>
      <c r="I120" s="133"/>
      <c r="J120" s="134"/>
      <c r="K120" s="134"/>
      <c r="L120" s="134"/>
      <c r="M120" s="134"/>
      <c r="N120" s="51" t="s">
        <v>39</v>
      </c>
      <c r="O120" s="40" t="s">
        <v>494</v>
      </c>
      <c r="P120" s="40" t="s">
        <v>883</v>
      </c>
      <c r="Q120" s="133"/>
      <c r="R120" s="133"/>
      <c r="S120" s="133"/>
      <c r="T120" s="133"/>
      <c r="U120" s="161"/>
      <c r="V120" s="133"/>
      <c r="W120" s="133"/>
      <c r="X120" s="133"/>
    </row>
    <row r="121" spans="1:24" ht="45" customHeight="1">
      <c r="A121" s="140">
        <v>40</v>
      </c>
      <c r="B121" s="134" t="s">
        <v>445</v>
      </c>
      <c r="C121" s="148" t="s">
        <v>1018</v>
      </c>
      <c r="D121" s="145" t="s">
        <v>1019</v>
      </c>
      <c r="E121" s="141" t="s">
        <v>716</v>
      </c>
      <c r="F121" s="145" t="s">
        <v>1019</v>
      </c>
      <c r="G121" s="137"/>
      <c r="H121" s="135" t="s">
        <v>623</v>
      </c>
      <c r="I121" s="131" t="s">
        <v>92</v>
      </c>
      <c r="J121" s="134" t="e">
        <f>#REF!</f>
        <v>#REF!</v>
      </c>
      <c r="K121" s="134" t="e">
        <f>#REF!</f>
        <v>#REF!</v>
      </c>
      <c r="L121" s="134" t="e">
        <f>#REF!</f>
        <v>#REF!</v>
      </c>
      <c r="M121" s="134" t="e">
        <f t="shared" ref="M121" si="76">IF(OR(L121&gt;6), "Non-acceptable","Acceptable")</f>
        <v>#REF!</v>
      </c>
      <c r="N121" s="51" t="s">
        <v>37</v>
      </c>
      <c r="O121" s="48" t="s">
        <v>298</v>
      </c>
      <c r="P121" s="47" t="s">
        <v>79</v>
      </c>
      <c r="Q121" s="131" t="e">
        <f>#REF!</f>
        <v>#REF!</v>
      </c>
      <c r="R121" s="131" t="e">
        <f>#REF!</f>
        <v>#REF!</v>
      </c>
      <c r="S121" s="131" t="e">
        <f>#REF!</f>
        <v>#REF!</v>
      </c>
      <c r="T121" s="131" t="e">
        <f t="shared" ref="T121" si="77">IF(OR(S121&gt;6), "Non-acceptable","Acceptable")</f>
        <v>#REF!</v>
      </c>
      <c r="U121" s="159" t="s">
        <v>747</v>
      </c>
      <c r="V121" s="131" t="s">
        <v>724</v>
      </c>
      <c r="W121" s="131" t="s">
        <v>725</v>
      </c>
      <c r="X121" s="131" t="s">
        <v>726</v>
      </c>
    </row>
    <row r="122" spans="1:24" ht="91.9">
      <c r="A122" s="141"/>
      <c r="B122" s="141"/>
      <c r="C122" s="132"/>
      <c r="D122" s="146"/>
      <c r="E122" s="141"/>
      <c r="F122" s="146"/>
      <c r="G122" s="138"/>
      <c r="H122" s="136"/>
      <c r="I122" s="132"/>
      <c r="J122" s="134"/>
      <c r="K122" s="134"/>
      <c r="L122" s="134"/>
      <c r="M122" s="134"/>
      <c r="N122" s="51" t="s">
        <v>38</v>
      </c>
      <c r="O122" s="40" t="s">
        <v>884</v>
      </c>
      <c r="P122" s="40" t="s">
        <v>191</v>
      </c>
      <c r="Q122" s="132"/>
      <c r="R122" s="132"/>
      <c r="S122" s="132"/>
      <c r="T122" s="132"/>
      <c r="U122" s="160"/>
      <c r="V122" s="132"/>
      <c r="W122" s="132"/>
      <c r="X122" s="132"/>
    </row>
    <row r="123" spans="1:24" ht="105.75" customHeight="1">
      <c r="A123" s="141"/>
      <c r="B123" s="141"/>
      <c r="C123" s="133"/>
      <c r="D123" s="147"/>
      <c r="E123" s="141"/>
      <c r="F123" s="147"/>
      <c r="G123" s="139"/>
      <c r="H123" s="136"/>
      <c r="I123" s="133"/>
      <c r="J123" s="134"/>
      <c r="K123" s="134"/>
      <c r="L123" s="134"/>
      <c r="M123" s="134"/>
      <c r="N123" s="51" t="s">
        <v>39</v>
      </c>
      <c r="O123" s="40" t="s">
        <v>885</v>
      </c>
      <c r="P123" s="40" t="s">
        <v>886</v>
      </c>
      <c r="Q123" s="133"/>
      <c r="R123" s="133"/>
      <c r="S123" s="133"/>
      <c r="T123" s="133"/>
      <c r="U123" s="161"/>
      <c r="V123" s="133"/>
      <c r="W123" s="133"/>
      <c r="X123" s="133"/>
    </row>
    <row r="124" spans="1:24" ht="35.25" customHeight="1">
      <c r="A124" s="140">
        <v>41</v>
      </c>
      <c r="B124" s="134" t="s">
        <v>446</v>
      </c>
      <c r="C124" s="143" t="s">
        <v>1017</v>
      </c>
      <c r="D124" s="145" t="s">
        <v>624</v>
      </c>
      <c r="E124" s="141" t="s">
        <v>40</v>
      </c>
      <c r="F124" s="145" t="s">
        <v>624</v>
      </c>
      <c r="G124" s="137"/>
      <c r="H124" s="145" t="s">
        <v>625</v>
      </c>
      <c r="I124" s="134" t="s">
        <v>600</v>
      </c>
      <c r="J124" s="134" t="e">
        <f>#REF!</f>
        <v>#REF!</v>
      </c>
      <c r="K124" s="134" t="e">
        <f>#REF!</f>
        <v>#REF!</v>
      </c>
      <c r="L124" s="134" t="e">
        <f>#REF!</f>
        <v>#REF!</v>
      </c>
      <c r="M124" s="134" t="e">
        <f t="shared" ref="M124" si="78">IF(OR(L124&gt;6), "Non-acceptable","Acceptable")</f>
        <v>#REF!</v>
      </c>
      <c r="N124" s="51" t="s">
        <v>37</v>
      </c>
      <c r="O124" s="48" t="s">
        <v>270</v>
      </c>
      <c r="P124" s="40" t="s">
        <v>79</v>
      </c>
      <c r="Q124" s="131" t="e">
        <f>#REF!</f>
        <v>#REF!</v>
      </c>
      <c r="R124" s="131" t="e">
        <f>#REF!</f>
        <v>#REF!</v>
      </c>
      <c r="S124" s="131" t="e">
        <f>#REF!</f>
        <v>#REF!</v>
      </c>
      <c r="T124" s="131" t="e">
        <f t="shared" ref="T124" si="79">IF(OR(S124&gt;6), "Non-acceptable","Acceptable")</f>
        <v>#REF!</v>
      </c>
      <c r="U124" s="159" t="s">
        <v>748</v>
      </c>
      <c r="V124" s="131" t="s">
        <v>724</v>
      </c>
      <c r="W124" s="131" t="s">
        <v>725</v>
      </c>
      <c r="X124" s="131" t="s">
        <v>726</v>
      </c>
    </row>
    <row r="125" spans="1:24" ht="33" customHeight="1">
      <c r="A125" s="141"/>
      <c r="B125" s="134"/>
      <c r="C125" s="141"/>
      <c r="D125" s="146"/>
      <c r="E125" s="141"/>
      <c r="F125" s="146"/>
      <c r="G125" s="138"/>
      <c r="H125" s="146"/>
      <c r="I125" s="134"/>
      <c r="J125" s="134"/>
      <c r="K125" s="134"/>
      <c r="L125" s="134"/>
      <c r="M125" s="134"/>
      <c r="N125" s="51" t="s">
        <v>38</v>
      </c>
      <c r="O125" s="48" t="s">
        <v>272</v>
      </c>
      <c r="P125" s="40"/>
      <c r="Q125" s="132"/>
      <c r="R125" s="132"/>
      <c r="S125" s="132"/>
      <c r="T125" s="132"/>
      <c r="U125" s="160"/>
      <c r="V125" s="132"/>
      <c r="W125" s="132"/>
      <c r="X125" s="132"/>
    </row>
    <row r="126" spans="1:24" ht="168" customHeight="1">
      <c r="A126" s="141"/>
      <c r="B126" s="134"/>
      <c r="C126" s="141"/>
      <c r="D126" s="147"/>
      <c r="E126" s="141"/>
      <c r="F126" s="147"/>
      <c r="G126" s="139"/>
      <c r="H126" s="147"/>
      <c r="I126" s="134"/>
      <c r="J126" s="134"/>
      <c r="K126" s="134"/>
      <c r="L126" s="134"/>
      <c r="M126" s="134"/>
      <c r="N126" s="51" t="s">
        <v>39</v>
      </c>
      <c r="O126" s="40" t="s">
        <v>887</v>
      </c>
      <c r="P126" s="40" t="s">
        <v>888</v>
      </c>
      <c r="Q126" s="133"/>
      <c r="R126" s="133"/>
      <c r="S126" s="133"/>
      <c r="T126" s="133"/>
      <c r="U126" s="161"/>
      <c r="V126" s="133"/>
      <c r="W126" s="133"/>
      <c r="X126" s="133"/>
    </row>
    <row r="127" spans="1:24" ht="36" customHeight="1">
      <c r="A127" s="140">
        <v>42</v>
      </c>
      <c r="B127" s="134" t="s">
        <v>446</v>
      </c>
      <c r="C127" s="148" t="s">
        <v>854</v>
      </c>
      <c r="D127" s="135" t="s">
        <v>626</v>
      </c>
      <c r="E127" s="141" t="s">
        <v>40</v>
      </c>
      <c r="F127" s="135" t="s">
        <v>626</v>
      </c>
      <c r="G127" s="137"/>
      <c r="H127" s="145" t="s">
        <v>627</v>
      </c>
      <c r="I127" s="134" t="s">
        <v>307</v>
      </c>
      <c r="J127" s="134" t="e">
        <f>#REF!</f>
        <v>#REF!</v>
      </c>
      <c r="K127" s="134" t="e">
        <f>#REF!</f>
        <v>#REF!</v>
      </c>
      <c r="L127" s="134" t="e">
        <f>#REF!</f>
        <v>#REF!</v>
      </c>
      <c r="M127" s="134" t="e">
        <f t="shared" ref="M127" si="80">IF(OR(L127&gt;6), "Non-acceptable","Acceptable")</f>
        <v>#REF!</v>
      </c>
      <c r="N127" s="51" t="s">
        <v>37</v>
      </c>
      <c r="O127" s="48" t="s">
        <v>293</v>
      </c>
      <c r="P127" s="48" t="s">
        <v>188</v>
      </c>
      <c r="Q127" s="131" t="e">
        <f>#REF!</f>
        <v>#REF!</v>
      </c>
      <c r="R127" s="131" t="e">
        <f>#REF!</f>
        <v>#REF!</v>
      </c>
      <c r="S127" s="131" t="e">
        <f>#REF!</f>
        <v>#REF!</v>
      </c>
      <c r="T127" s="131" t="e">
        <f t="shared" ref="T127" si="81">IF(OR(S127&gt;6), "Non-acceptable","Acceptable")</f>
        <v>#REF!</v>
      </c>
      <c r="U127" s="150" t="s">
        <v>742</v>
      </c>
      <c r="V127" s="131" t="s">
        <v>793</v>
      </c>
      <c r="W127" s="131" t="s">
        <v>725</v>
      </c>
      <c r="X127" s="131" t="s">
        <v>726</v>
      </c>
    </row>
    <row r="128" spans="1:24" ht="88.5" customHeight="1">
      <c r="A128" s="141"/>
      <c r="B128" s="134"/>
      <c r="C128" s="132"/>
      <c r="D128" s="136"/>
      <c r="E128" s="141"/>
      <c r="F128" s="136"/>
      <c r="G128" s="138"/>
      <c r="H128" s="154"/>
      <c r="I128" s="134"/>
      <c r="J128" s="134"/>
      <c r="K128" s="134"/>
      <c r="L128" s="134"/>
      <c r="M128" s="134"/>
      <c r="N128" s="51" t="s">
        <v>38</v>
      </c>
      <c r="O128" s="40" t="s">
        <v>530</v>
      </c>
      <c r="P128" s="40" t="s">
        <v>296</v>
      </c>
      <c r="Q128" s="132"/>
      <c r="R128" s="132"/>
      <c r="S128" s="132"/>
      <c r="T128" s="132"/>
      <c r="U128" s="160"/>
      <c r="V128" s="132"/>
      <c r="W128" s="132"/>
      <c r="X128" s="132"/>
    </row>
    <row r="129" spans="1:24" ht="32.25" customHeight="1">
      <c r="A129" s="141"/>
      <c r="B129" s="134"/>
      <c r="C129" s="133"/>
      <c r="D129" s="136"/>
      <c r="E129" s="141"/>
      <c r="F129" s="136"/>
      <c r="G129" s="139"/>
      <c r="H129" s="155"/>
      <c r="I129" s="134"/>
      <c r="J129" s="134"/>
      <c r="K129" s="134"/>
      <c r="L129" s="134"/>
      <c r="M129" s="134"/>
      <c r="N129" s="51" t="s">
        <v>39</v>
      </c>
      <c r="O129" s="48" t="s">
        <v>284</v>
      </c>
      <c r="P129" s="41"/>
      <c r="Q129" s="133"/>
      <c r="R129" s="133"/>
      <c r="S129" s="133"/>
      <c r="T129" s="133"/>
      <c r="U129" s="161"/>
      <c r="V129" s="133"/>
      <c r="W129" s="133"/>
      <c r="X129" s="133"/>
    </row>
    <row r="130" spans="1:24" ht="36.75" customHeight="1">
      <c r="A130" s="140">
        <v>43</v>
      </c>
      <c r="B130" s="134" t="s">
        <v>446</v>
      </c>
      <c r="C130" s="157" t="s">
        <v>1020</v>
      </c>
      <c r="D130" s="135" t="s">
        <v>628</v>
      </c>
      <c r="E130" s="166" t="s">
        <v>715</v>
      </c>
      <c r="F130" s="135" t="s">
        <v>628</v>
      </c>
      <c r="G130" s="137"/>
      <c r="H130" s="145" t="s">
        <v>625</v>
      </c>
      <c r="I130" s="134" t="s">
        <v>600</v>
      </c>
      <c r="J130" s="134" t="e">
        <f>#REF!</f>
        <v>#REF!</v>
      </c>
      <c r="K130" s="134" t="e">
        <f>#REF!</f>
        <v>#REF!</v>
      </c>
      <c r="L130" s="134" t="e">
        <f>#REF!</f>
        <v>#REF!</v>
      </c>
      <c r="M130" s="134" t="e">
        <f t="shared" ref="M130" si="82">IF(OR(L130&gt;6), "Non-acceptable","Acceptable")</f>
        <v>#REF!</v>
      </c>
      <c r="N130" s="51" t="s">
        <v>37</v>
      </c>
      <c r="O130" s="48" t="s">
        <v>531</v>
      </c>
      <c r="P130" s="40" t="s">
        <v>79</v>
      </c>
      <c r="Q130" s="131" t="e">
        <f>#REF!</f>
        <v>#REF!</v>
      </c>
      <c r="R130" s="131" t="e">
        <f>#REF!</f>
        <v>#REF!</v>
      </c>
      <c r="S130" s="131" t="e">
        <f>#REF!</f>
        <v>#REF!</v>
      </c>
      <c r="T130" s="131" t="e">
        <f t="shared" ref="T130" si="83">IF(OR(S130&gt;6), "Non-acceptable","Acceptable")</f>
        <v>#REF!</v>
      </c>
      <c r="U130" s="159" t="s">
        <v>749</v>
      </c>
      <c r="V130" s="131" t="s">
        <v>724</v>
      </c>
      <c r="W130" s="131" t="s">
        <v>725</v>
      </c>
      <c r="X130" s="131" t="s">
        <v>794</v>
      </c>
    </row>
    <row r="131" spans="1:24" ht="33" customHeight="1">
      <c r="A131" s="141"/>
      <c r="B131" s="134"/>
      <c r="C131" s="163"/>
      <c r="D131" s="136"/>
      <c r="E131" s="167"/>
      <c r="F131" s="136"/>
      <c r="G131" s="138"/>
      <c r="H131" s="146"/>
      <c r="I131" s="134"/>
      <c r="J131" s="134"/>
      <c r="K131" s="134"/>
      <c r="L131" s="134"/>
      <c r="M131" s="134"/>
      <c r="N131" s="51" t="s">
        <v>38</v>
      </c>
      <c r="O131" s="48" t="s">
        <v>532</v>
      </c>
      <c r="P131" s="40"/>
      <c r="Q131" s="132"/>
      <c r="R131" s="132"/>
      <c r="S131" s="132"/>
      <c r="T131" s="132"/>
      <c r="U131" s="160"/>
      <c r="V131" s="132"/>
      <c r="W131" s="132"/>
      <c r="X131" s="132"/>
    </row>
    <row r="132" spans="1:24" ht="315.75" customHeight="1">
      <c r="A132" s="141"/>
      <c r="B132" s="134"/>
      <c r="C132" s="163"/>
      <c r="D132" s="136"/>
      <c r="E132" s="168"/>
      <c r="F132" s="136"/>
      <c r="G132" s="139"/>
      <c r="H132" s="147"/>
      <c r="I132" s="134"/>
      <c r="J132" s="134"/>
      <c r="K132" s="134"/>
      <c r="L132" s="134"/>
      <c r="M132" s="134"/>
      <c r="N132" s="51" t="s">
        <v>39</v>
      </c>
      <c r="O132" s="40" t="s">
        <v>534</v>
      </c>
      <c r="P132" s="40" t="s">
        <v>533</v>
      </c>
      <c r="Q132" s="133"/>
      <c r="R132" s="133"/>
      <c r="S132" s="133"/>
      <c r="T132" s="133"/>
      <c r="U132" s="161"/>
      <c r="V132" s="133"/>
      <c r="W132" s="133"/>
      <c r="X132" s="133"/>
    </row>
    <row r="133" spans="1:24" ht="45" customHeight="1">
      <c r="A133" s="140">
        <v>44</v>
      </c>
      <c r="B133" s="134" t="s">
        <v>447</v>
      </c>
      <c r="C133" s="149" t="s">
        <v>1021</v>
      </c>
      <c r="D133" s="150" t="s">
        <v>889</v>
      </c>
      <c r="E133" s="141" t="s">
        <v>716</v>
      </c>
      <c r="F133" s="150" t="s">
        <v>889</v>
      </c>
      <c r="G133" s="137"/>
      <c r="H133" s="135" t="s">
        <v>890</v>
      </c>
      <c r="I133" s="134" t="s">
        <v>891</v>
      </c>
      <c r="J133" s="134" t="e">
        <f>#REF!</f>
        <v>#REF!</v>
      </c>
      <c r="K133" s="134" t="e">
        <f>#REF!</f>
        <v>#REF!</v>
      </c>
      <c r="L133" s="134" t="e">
        <f>#REF!</f>
        <v>#REF!</v>
      </c>
      <c r="M133" s="134" t="e">
        <f t="shared" ref="M133" si="84">IF(OR(L133&gt;6), "Non-acceptable","Acceptable")</f>
        <v>#REF!</v>
      </c>
      <c r="N133" s="51" t="s">
        <v>37</v>
      </c>
      <c r="O133" s="48" t="s">
        <v>892</v>
      </c>
      <c r="P133" s="48" t="s">
        <v>893</v>
      </c>
      <c r="Q133" s="131" t="e">
        <f>#REF!</f>
        <v>#REF!</v>
      </c>
      <c r="R133" s="131" t="e">
        <f>#REF!</f>
        <v>#REF!</v>
      </c>
      <c r="S133" s="131" t="e">
        <f>#REF!</f>
        <v>#REF!</v>
      </c>
      <c r="T133" s="131" t="e">
        <f t="shared" ref="T133" si="85">IF(OR(S133&gt;6), "Non-acceptable","Acceptable")</f>
        <v>#REF!</v>
      </c>
      <c r="U133" s="150" t="s">
        <v>742</v>
      </c>
      <c r="V133" s="131" t="s">
        <v>724</v>
      </c>
      <c r="W133" s="131" t="s">
        <v>797</v>
      </c>
      <c r="X133" s="131" t="s">
        <v>726</v>
      </c>
    </row>
    <row r="134" spans="1:24" ht="30" customHeight="1">
      <c r="A134" s="141"/>
      <c r="B134" s="134"/>
      <c r="C134" s="149"/>
      <c r="D134" s="151"/>
      <c r="E134" s="141"/>
      <c r="F134" s="151"/>
      <c r="G134" s="138"/>
      <c r="H134" s="136"/>
      <c r="I134" s="134"/>
      <c r="J134" s="134"/>
      <c r="K134" s="134"/>
      <c r="L134" s="134"/>
      <c r="M134" s="134"/>
      <c r="N134" s="51" t="s">
        <v>38</v>
      </c>
      <c r="O134" s="40" t="s">
        <v>391</v>
      </c>
      <c r="P134" s="40"/>
      <c r="Q134" s="132"/>
      <c r="R134" s="132"/>
      <c r="S134" s="132"/>
      <c r="T134" s="132"/>
      <c r="U134" s="160"/>
      <c r="V134" s="132"/>
      <c r="W134" s="132"/>
      <c r="X134" s="132"/>
    </row>
    <row r="135" spans="1:24" ht="36" customHeight="1">
      <c r="A135" s="141"/>
      <c r="B135" s="134"/>
      <c r="C135" s="149"/>
      <c r="D135" s="152"/>
      <c r="E135" s="141"/>
      <c r="F135" s="152"/>
      <c r="G135" s="139"/>
      <c r="H135" s="136"/>
      <c r="I135" s="134"/>
      <c r="J135" s="134"/>
      <c r="K135" s="134"/>
      <c r="L135" s="134"/>
      <c r="M135" s="134"/>
      <c r="N135" s="51" t="s">
        <v>39</v>
      </c>
      <c r="O135" s="48" t="s">
        <v>284</v>
      </c>
      <c r="P135" s="41"/>
      <c r="Q135" s="133"/>
      <c r="R135" s="133"/>
      <c r="S135" s="133"/>
      <c r="T135" s="133"/>
      <c r="U135" s="161"/>
      <c r="V135" s="133"/>
      <c r="W135" s="133"/>
      <c r="X135" s="133"/>
    </row>
    <row r="136" spans="1:24" ht="57.75" customHeight="1">
      <c r="A136" s="140">
        <v>45</v>
      </c>
      <c r="B136" s="134" t="s">
        <v>537</v>
      </c>
      <c r="C136" s="148" t="s">
        <v>854</v>
      </c>
      <c r="D136" s="145" t="s">
        <v>630</v>
      </c>
      <c r="E136" s="141" t="s">
        <v>716</v>
      </c>
      <c r="F136" s="145" t="s">
        <v>630</v>
      </c>
      <c r="G136" s="135" t="s">
        <v>282</v>
      </c>
      <c r="H136" s="145" t="s">
        <v>627</v>
      </c>
      <c r="I136" s="131" t="s">
        <v>375</v>
      </c>
      <c r="J136" s="134" t="e">
        <f>#REF!</f>
        <v>#REF!</v>
      </c>
      <c r="K136" s="134" t="e">
        <f>#REF!</f>
        <v>#REF!</v>
      </c>
      <c r="L136" s="134" t="e">
        <f>#REF!</f>
        <v>#REF!</v>
      </c>
      <c r="M136" s="134" t="e">
        <f t="shared" ref="M136" si="86">IF(OR(L136&gt;6), "Non-acceptable","Acceptable")</f>
        <v>#REF!</v>
      </c>
      <c r="N136" s="51" t="s">
        <v>37</v>
      </c>
      <c r="O136" s="48" t="s">
        <v>535</v>
      </c>
      <c r="P136" s="48" t="s">
        <v>536</v>
      </c>
      <c r="Q136" s="131" t="e">
        <f>#REF!</f>
        <v>#REF!</v>
      </c>
      <c r="R136" s="131" t="e">
        <f>#REF!</f>
        <v>#REF!</v>
      </c>
      <c r="S136" s="131" t="e">
        <f>#REF!</f>
        <v>#REF!</v>
      </c>
      <c r="T136" s="131" t="e">
        <f t="shared" ref="T136" si="87">IF(OR(S136&gt;6), "Non-acceptable","Acceptable")</f>
        <v>#REF!</v>
      </c>
      <c r="U136" s="150" t="s">
        <v>742</v>
      </c>
      <c r="V136" s="131" t="s">
        <v>724</v>
      </c>
      <c r="W136" s="131" t="s">
        <v>797</v>
      </c>
      <c r="X136" s="131" t="s">
        <v>726</v>
      </c>
    </row>
    <row r="137" spans="1:24" ht="51" customHeight="1">
      <c r="A137" s="141"/>
      <c r="B137" s="134"/>
      <c r="C137" s="132"/>
      <c r="D137" s="146"/>
      <c r="E137" s="141"/>
      <c r="F137" s="146"/>
      <c r="G137" s="136"/>
      <c r="H137" s="154"/>
      <c r="I137" s="132"/>
      <c r="J137" s="134"/>
      <c r="K137" s="134"/>
      <c r="L137" s="134"/>
      <c r="M137" s="134"/>
      <c r="N137" s="51" t="s">
        <v>38</v>
      </c>
      <c r="O137" s="48" t="s">
        <v>376</v>
      </c>
      <c r="P137" s="40"/>
      <c r="Q137" s="132"/>
      <c r="R137" s="132"/>
      <c r="S137" s="132"/>
      <c r="T137" s="132"/>
      <c r="U137" s="160"/>
      <c r="V137" s="132"/>
      <c r="W137" s="132"/>
      <c r="X137" s="132"/>
    </row>
    <row r="138" spans="1:24" ht="45" customHeight="1">
      <c r="A138" s="141"/>
      <c r="B138" s="134"/>
      <c r="C138" s="133"/>
      <c r="D138" s="147"/>
      <c r="E138" s="141"/>
      <c r="F138" s="147"/>
      <c r="G138" s="136"/>
      <c r="H138" s="155"/>
      <c r="I138" s="133"/>
      <c r="J138" s="134"/>
      <c r="K138" s="134"/>
      <c r="L138" s="134"/>
      <c r="M138" s="134"/>
      <c r="N138" s="51" t="s">
        <v>1022</v>
      </c>
      <c r="O138" s="48" t="s">
        <v>284</v>
      </c>
      <c r="P138" s="41"/>
      <c r="Q138" s="133"/>
      <c r="R138" s="133"/>
      <c r="S138" s="133"/>
      <c r="T138" s="133"/>
      <c r="U138" s="161"/>
      <c r="V138" s="133"/>
      <c r="W138" s="133"/>
      <c r="X138" s="133"/>
    </row>
    <row r="139" spans="1:24" ht="69" customHeight="1">
      <c r="A139" s="140">
        <v>46</v>
      </c>
      <c r="B139" s="134" t="s">
        <v>449</v>
      </c>
      <c r="C139" s="148" t="s">
        <v>854</v>
      </c>
      <c r="D139" s="135" t="s">
        <v>629</v>
      </c>
      <c r="E139" s="141" t="s">
        <v>716</v>
      </c>
      <c r="F139" s="135" t="s">
        <v>629</v>
      </c>
      <c r="G139" s="137"/>
      <c r="H139" s="137" t="s">
        <v>631</v>
      </c>
      <c r="I139" s="134" t="s">
        <v>307</v>
      </c>
      <c r="J139" s="134" t="e">
        <f>#REF!</f>
        <v>#REF!</v>
      </c>
      <c r="K139" s="134" t="e">
        <f>#REF!</f>
        <v>#REF!</v>
      </c>
      <c r="L139" s="134" t="e">
        <f>#REF!</f>
        <v>#REF!</v>
      </c>
      <c r="M139" s="134" t="e">
        <f t="shared" ref="M139" si="88">IF(OR(L139&gt;6), "Non-acceptable","Acceptable")</f>
        <v>#REF!</v>
      </c>
      <c r="N139" s="51" t="s">
        <v>1023</v>
      </c>
      <c r="O139" s="48" t="s">
        <v>894</v>
      </c>
      <c r="P139" s="48" t="s">
        <v>538</v>
      </c>
      <c r="Q139" s="131" t="e">
        <f>#REF!</f>
        <v>#REF!</v>
      </c>
      <c r="R139" s="131" t="e">
        <f>#REF!</f>
        <v>#REF!</v>
      </c>
      <c r="S139" s="131" t="e">
        <f>#REF!</f>
        <v>#REF!</v>
      </c>
      <c r="T139" s="131" t="e">
        <f t="shared" ref="T139" si="89">IF(OR(S139&gt;6), "Non-acceptable","Acceptable")</f>
        <v>#REF!</v>
      </c>
      <c r="U139" s="150" t="s">
        <v>742</v>
      </c>
      <c r="V139" s="131" t="s">
        <v>724</v>
      </c>
      <c r="W139" s="131" t="s">
        <v>725</v>
      </c>
      <c r="X139" s="131" t="s">
        <v>726</v>
      </c>
    </row>
    <row r="140" spans="1:24" ht="36" customHeight="1">
      <c r="A140" s="141"/>
      <c r="B140" s="134"/>
      <c r="C140" s="132"/>
      <c r="D140" s="136"/>
      <c r="E140" s="141"/>
      <c r="F140" s="136"/>
      <c r="G140" s="138"/>
      <c r="H140" s="132"/>
      <c r="I140" s="134"/>
      <c r="J140" s="134"/>
      <c r="K140" s="134"/>
      <c r="L140" s="134"/>
      <c r="M140" s="134"/>
      <c r="N140" s="51" t="s">
        <v>38</v>
      </c>
      <c r="O140" s="48" t="s">
        <v>320</v>
      </c>
      <c r="P140" s="40"/>
      <c r="Q140" s="132"/>
      <c r="R140" s="132"/>
      <c r="S140" s="132"/>
      <c r="T140" s="132"/>
      <c r="U140" s="160"/>
      <c r="V140" s="132"/>
      <c r="W140" s="132"/>
      <c r="X140" s="132"/>
    </row>
    <row r="141" spans="1:24" ht="35.25" customHeight="1">
      <c r="A141" s="141"/>
      <c r="B141" s="134"/>
      <c r="C141" s="133"/>
      <c r="D141" s="136"/>
      <c r="E141" s="141"/>
      <c r="F141" s="136"/>
      <c r="G141" s="139"/>
      <c r="H141" s="133"/>
      <c r="I141" s="134"/>
      <c r="J141" s="134"/>
      <c r="K141" s="134"/>
      <c r="L141" s="134"/>
      <c r="M141" s="134"/>
      <c r="N141" s="51" t="s">
        <v>39</v>
      </c>
      <c r="O141" s="48" t="s">
        <v>284</v>
      </c>
      <c r="P141" s="41"/>
      <c r="Q141" s="133"/>
      <c r="R141" s="133"/>
      <c r="S141" s="133"/>
      <c r="T141" s="133"/>
      <c r="U141" s="161"/>
      <c r="V141" s="133"/>
      <c r="W141" s="133"/>
      <c r="X141" s="133"/>
    </row>
    <row r="142" spans="1:24" ht="51" customHeight="1">
      <c r="A142" s="140">
        <v>47</v>
      </c>
      <c r="B142" s="134" t="s">
        <v>450</v>
      </c>
      <c r="C142" s="131" t="s">
        <v>1024</v>
      </c>
      <c r="D142" s="135" t="s">
        <v>895</v>
      </c>
      <c r="E142" s="141" t="s">
        <v>716</v>
      </c>
      <c r="F142" s="135" t="s">
        <v>895</v>
      </c>
      <c r="G142" s="137"/>
      <c r="H142" s="135" t="s">
        <v>632</v>
      </c>
      <c r="I142" s="134" t="s">
        <v>348</v>
      </c>
      <c r="J142" s="134" t="e">
        <f>#REF!</f>
        <v>#REF!</v>
      </c>
      <c r="K142" s="134" t="e">
        <f>#REF!</f>
        <v>#REF!</v>
      </c>
      <c r="L142" s="134" t="e">
        <f>#REF!</f>
        <v>#REF!</v>
      </c>
      <c r="M142" s="134" t="e">
        <f t="shared" ref="M142" si="90">IF(OR(L142&gt;6), "Non-acceptable","Acceptable")</f>
        <v>#REF!</v>
      </c>
      <c r="N142" s="51" t="s">
        <v>37</v>
      </c>
      <c r="O142" s="48" t="s">
        <v>539</v>
      </c>
      <c r="P142" s="48" t="s">
        <v>22</v>
      </c>
      <c r="Q142" s="131" t="e">
        <f>#REF!</f>
        <v>#REF!</v>
      </c>
      <c r="R142" s="131" t="e">
        <f>#REF!</f>
        <v>#REF!</v>
      </c>
      <c r="S142" s="131" t="e">
        <f>#REF!</f>
        <v>#REF!</v>
      </c>
      <c r="T142" s="131" t="e">
        <f t="shared" ref="T142" si="91">IF(OR(S142&gt;6), "Non-acceptable","Acceptable")</f>
        <v>#REF!</v>
      </c>
      <c r="U142" s="150" t="s">
        <v>742</v>
      </c>
      <c r="V142" s="131" t="s">
        <v>724</v>
      </c>
      <c r="W142" s="131" t="s">
        <v>725</v>
      </c>
      <c r="X142" s="131" t="s">
        <v>794</v>
      </c>
    </row>
    <row r="143" spans="1:24" ht="33.75" customHeight="1">
      <c r="A143" s="141"/>
      <c r="B143" s="134"/>
      <c r="C143" s="132"/>
      <c r="D143" s="136"/>
      <c r="E143" s="141"/>
      <c r="F143" s="136"/>
      <c r="G143" s="138"/>
      <c r="H143" s="136"/>
      <c r="I143" s="134"/>
      <c r="J143" s="134"/>
      <c r="K143" s="134"/>
      <c r="L143" s="134"/>
      <c r="M143" s="134"/>
      <c r="N143" s="51" t="s">
        <v>38</v>
      </c>
      <c r="O143" s="48" t="s">
        <v>540</v>
      </c>
      <c r="P143" s="42"/>
      <c r="Q143" s="132"/>
      <c r="R143" s="132"/>
      <c r="S143" s="132"/>
      <c r="T143" s="132"/>
      <c r="U143" s="160"/>
      <c r="V143" s="132"/>
      <c r="W143" s="132"/>
      <c r="X143" s="132"/>
    </row>
    <row r="144" spans="1:24" ht="29.25" customHeight="1">
      <c r="A144" s="141"/>
      <c r="B144" s="134"/>
      <c r="C144" s="133"/>
      <c r="D144" s="136"/>
      <c r="E144" s="141"/>
      <c r="F144" s="136"/>
      <c r="G144" s="139"/>
      <c r="H144" s="136"/>
      <c r="I144" s="134"/>
      <c r="J144" s="134"/>
      <c r="K144" s="134"/>
      <c r="L144" s="134"/>
      <c r="M144" s="134"/>
      <c r="N144" s="51" t="s">
        <v>39</v>
      </c>
      <c r="O144" s="48" t="s">
        <v>284</v>
      </c>
      <c r="P144" s="43"/>
      <c r="Q144" s="133"/>
      <c r="R144" s="133"/>
      <c r="S144" s="133"/>
      <c r="T144" s="133"/>
      <c r="U144" s="161"/>
      <c r="V144" s="133"/>
      <c r="W144" s="133"/>
      <c r="X144" s="133"/>
    </row>
    <row r="145" spans="1:24" ht="62.25" customHeight="1">
      <c r="A145" s="140">
        <v>48</v>
      </c>
      <c r="B145" s="134" t="s">
        <v>451</v>
      </c>
      <c r="C145" s="143" t="s">
        <v>1010</v>
      </c>
      <c r="D145" s="145" t="s">
        <v>633</v>
      </c>
      <c r="E145" s="141" t="s">
        <v>716</v>
      </c>
      <c r="F145" s="145" t="s">
        <v>633</v>
      </c>
      <c r="G145" s="137"/>
      <c r="H145" s="137" t="s">
        <v>634</v>
      </c>
      <c r="I145" s="134" t="s">
        <v>86</v>
      </c>
      <c r="J145" s="134" t="e">
        <f>#REF!</f>
        <v>#REF!</v>
      </c>
      <c r="K145" s="134" t="e">
        <f>#REF!</f>
        <v>#REF!</v>
      </c>
      <c r="L145" s="134" t="e">
        <f>#REF!</f>
        <v>#REF!</v>
      </c>
      <c r="M145" s="134" t="e">
        <f t="shared" ref="M145" si="92">IF(OR(L145&gt;6), "Non-acceptable","Acceptable")</f>
        <v>#REF!</v>
      </c>
      <c r="N145" s="51" t="s">
        <v>37</v>
      </c>
      <c r="O145" s="48" t="s">
        <v>285</v>
      </c>
      <c r="P145" s="40" t="s">
        <v>31</v>
      </c>
      <c r="Q145" s="131" t="e">
        <f>#REF!</f>
        <v>#REF!</v>
      </c>
      <c r="R145" s="131" t="e">
        <f>#REF!</f>
        <v>#REF!</v>
      </c>
      <c r="S145" s="131" t="e">
        <f>#REF!</f>
        <v>#REF!</v>
      </c>
      <c r="T145" s="131" t="e">
        <f t="shared" ref="T145" si="93">IF(OR(S145&gt;6), "Non-acceptable","Acceptable")</f>
        <v>#REF!</v>
      </c>
      <c r="U145" s="150" t="s">
        <v>742</v>
      </c>
      <c r="V145" s="131" t="s">
        <v>793</v>
      </c>
      <c r="W145" s="131" t="s">
        <v>725</v>
      </c>
      <c r="X145" s="131" t="s">
        <v>726</v>
      </c>
    </row>
    <row r="146" spans="1:24" ht="83.25" customHeight="1">
      <c r="A146" s="141"/>
      <c r="B146" s="134"/>
      <c r="C146" s="141"/>
      <c r="D146" s="146"/>
      <c r="E146" s="141"/>
      <c r="F146" s="146"/>
      <c r="G146" s="138"/>
      <c r="H146" s="132"/>
      <c r="I146" s="134"/>
      <c r="J146" s="134"/>
      <c r="K146" s="134"/>
      <c r="L146" s="134"/>
      <c r="M146" s="134"/>
      <c r="N146" s="51" t="s">
        <v>38</v>
      </c>
      <c r="O146" s="48" t="s">
        <v>182</v>
      </c>
      <c r="P146" s="48" t="s">
        <v>541</v>
      </c>
      <c r="Q146" s="132"/>
      <c r="R146" s="132"/>
      <c r="S146" s="132"/>
      <c r="T146" s="132"/>
      <c r="U146" s="160"/>
      <c r="V146" s="132"/>
      <c r="W146" s="132"/>
      <c r="X146" s="132"/>
    </row>
    <row r="147" spans="1:24" ht="51.75" customHeight="1">
      <c r="A147" s="141"/>
      <c r="B147" s="134"/>
      <c r="C147" s="141"/>
      <c r="D147" s="147"/>
      <c r="E147" s="141"/>
      <c r="F147" s="147"/>
      <c r="G147" s="139"/>
      <c r="H147" s="133"/>
      <c r="I147" s="134"/>
      <c r="J147" s="134"/>
      <c r="K147" s="134"/>
      <c r="L147" s="134"/>
      <c r="M147" s="134"/>
      <c r="N147" s="51" t="s">
        <v>39</v>
      </c>
      <c r="O147" s="48" t="s">
        <v>284</v>
      </c>
      <c r="P147" s="41"/>
      <c r="Q147" s="133"/>
      <c r="R147" s="133"/>
      <c r="S147" s="133"/>
      <c r="T147" s="133"/>
      <c r="U147" s="161"/>
      <c r="V147" s="133"/>
      <c r="W147" s="133"/>
      <c r="X147" s="133"/>
    </row>
    <row r="148" spans="1:24" ht="35.25" customHeight="1">
      <c r="A148" s="140">
        <v>49</v>
      </c>
      <c r="B148" s="134" t="s">
        <v>451</v>
      </c>
      <c r="C148" s="143" t="s">
        <v>1010</v>
      </c>
      <c r="D148" s="135" t="s">
        <v>635</v>
      </c>
      <c r="E148" s="141" t="s">
        <v>716</v>
      </c>
      <c r="F148" s="135" t="s">
        <v>635</v>
      </c>
      <c r="G148" s="137"/>
      <c r="H148" s="137" t="s">
        <v>634</v>
      </c>
      <c r="I148" s="134" t="s">
        <v>86</v>
      </c>
      <c r="J148" s="134" t="e">
        <f>#REF!</f>
        <v>#REF!</v>
      </c>
      <c r="K148" s="134" t="e">
        <f>#REF!</f>
        <v>#REF!</v>
      </c>
      <c r="L148" s="134" t="e">
        <f>#REF!</f>
        <v>#REF!</v>
      </c>
      <c r="M148" s="134" t="e">
        <f t="shared" ref="M148" si="94">IF(OR(L148&gt;6), "Non-acceptable","Acceptable")</f>
        <v>#REF!</v>
      </c>
      <c r="N148" s="51" t="s">
        <v>37</v>
      </c>
      <c r="O148" s="48" t="s">
        <v>30</v>
      </c>
      <c r="P148" s="40" t="s">
        <v>542</v>
      </c>
      <c r="Q148" s="131" t="e">
        <f>#REF!</f>
        <v>#REF!</v>
      </c>
      <c r="R148" s="131" t="e">
        <f>#REF!</f>
        <v>#REF!</v>
      </c>
      <c r="S148" s="131" t="e">
        <f>#REF!</f>
        <v>#REF!</v>
      </c>
      <c r="T148" s="131" t="e">
        <f t="shared" ref="T148" si="95">IF(OR(S148&gt;6), "Non-acceptable","Acceptable")</f>
        <v>#REF!</v>
      </c>
      <c r="U148" s="150" t="s">
        <v>742</v>
      </c>
      <c r="V148" s="131" t="s">
        <v>724</v>
      </c>
      <c r="W148" s="131" t="s">
        <v>725</v>
      </c>
      <c r="X148" s="131" t="s">
        <v>726</v>
      </c>
    </row>
    <row r="149" spans="1:24" ht="122.25" customHeight="1">
      <c r="A149" s="141"/>
      <c r="B149" s="134"/>
      <c r="C149" s="141"/>
      <c r="D149" s="136"/>
      <c r="E149" s="141"/>
      <c r="F149" s="136"/>
      <c r="G149" s="138"/>
      <c r="H149" s="132"/>
      <c r="I149" s="134"/>
      <c r="J149" s="134"/>
      <c r="K149" s="134"/>
      <c r="L149" s="134"/>
      <c r="M149" s="134"/>
      <c r="N149" s="51" t="s">
        <v>38</v>
      </c>
      <c r="O149" s="40" t="s">
        <v>557</v>
      </c>
      <c r="P149" s="47" t="s">
        <v>543</v>
      </c>
      <c r="Q149" s="132"/>
      <c r="R149" s="132"/>
      <c r="S149" s="132"/>
      <c r="T149" s="132"/>
      <c r="U149" s="160"/>
      <c r="V149" s="132"/>
      <c r="W149" s="132"/>
      <c r="X149" s="132"/>
    </row>
    <row r="150" spans="1:24" ht="33.75" customHeight="1">
      <c r="A150" s="141"/>
      <c r="B150" s="134"/>
      <c r="C150" s="141"/>
      <c r="D150" s="136"/>
      <c r="E150" s="141"/>
      <c r="F150" s="136"/>
      <c r="G150" s="139"/>
      <c r="H150" s="133"/>
      <c r="I150" s="134"/>
      <c r="J150" s="134"/>
      <c r="K150" s="134"/>
      <c r="L150" s="134"/>
      <c r="M150" s="134"/>
      <c r="N150" s="51" t="s">
        <v>39</v>
      </c>
      <c r="O150" s="48" t="s">
        <v>284</v>
      </c>
      <c r="P150" s="41"/>
      <c r="Q150" s="133"/>
      <c r="R150" s="133"/>
      <c r="S150" s="133"/>
      <c r="T150" s="133"/>
      <c r="U150" s="161"/>
      <c r="V150" s="133"/>
      <c r="W150" s="133"/>
      <c r="X150" s="133"/>
    </row>
    <row r="151" spans="1:24" ht="40.5" customHeight="1">
      <c r="A151" s="140">
        <v>50</v>
      </c>
      <c r="B151" s="134" t="s">
        <v>456</v>
      </c>
      <c r="C151" s="149" t="s">
        <v>1025</v>
      </c>
      <c r="D151" s="136" t="s">
        <v>896</v>
      </c>
      <c r="E151" s="141" t="s">
        <v>716</v>
      </c>
      <c r="F151" s="136" t="s">
        <v>896</v>
      </c>
      <c r="G151" s="137"/>
      <c r="H151" s="135" t="s">
        <v>890</v>
      </c>
      <c r="I151" s="134" t="s">
        <v>891</v>
      </c>
      <c r="J151" s="134" t="e">
        <f>#REF!</f>
        <v>#REF!</v>
      </c>
      <c r="K151" s="134" t="e">
        <f>#REF!</f>
        <v>#REF!</v>
      </c>
      <c r="L151" s="134" t="e">
        <f>#REF!</f>
        <v>#REF!</v>
      </c>
      <c r="M151" s="134" t="e">
        <f t="shared" ref="M151" si="96">IF(OR(L151&gt;6), "Non-acceptable","Acceptable")</f>
        <v>#REF!</v>
      </c>
      <c r="N151" s="51" t="s">
        <v>37</v>
      </c>
      <c r="O151" s="48" t="s">
        <v>544</v>
      </c>
      <c r="P151" s="48" t="s">
        <v>297</v>
      </c>
      <c r="Q151" s="131" t="e">
        <f>#REF!</f>
        <v>#REF!</v>
      </c>
      <c r="R151" s="131" t="e">
        <f>#REF!</f>
        <v>#REF!</v>
      </c>
      <c r="S151" s="131" t="e">
        <f>#REF!</f>
        <v>#REF!</v>
      </c>
      <c r="T151" s="131" t="e">
        <f t="shared" ref="T151" si="97">IF(OR(S151&gt;6), "Non-acceptable","Acceptable")</f>
        <v>#REF!</v>
      </c>
      <c r="U151" s="159" t="s">
        <v>750</v>
      </c>
      <c r="V151" s="131" t="s">
        <v>724</v>
      </c>
      <c r="W151" s="131" t="s">
        <v>725</v>
      </c>
      <c r="X151" s="131" t="s">
        <v>726</v>
      </c>
    </row>
    <row r="152" spans="1:24" ht="133.5" customHeight="1">
      <c r="A152" s="141"/>
      <c r="B152" s="134"/>
      <c r="C152" s="149"/>
      <c r="D152" s="136"/>
      <c r="E152" s="141"/>
      <c r="F152" s="136"/>
      <c r="G152" s="138"/>
      <c r="H152" s="136"/>
      <c r="I152" s="134"/>
      <c r="J152" s="134"/>
      <c r="K152" s="134"/>
      <c r="L152" s="134"/>
      <c r="M152" s="134"/>
      <c r="N152" s="51" t="s">
        <v>38</v>
      </c>
      <c r="O152" s="40" t="s">
        <v>897</v>
      </c>
      <c r="P152" s="40" t="s">
        <v>898</v>
      </c>
      <c r="Q152" s="132"/>
      <c r="R152" s="132"/>
      <c r="S152" s="132"/>
      <c r="T152" s="132"/>
      <c r="U152" s="160"/>
      <c r="V152" s="132"/>
      <c r="W152" s="132"/>
      <c r="X152" s="132"/>
    </row>
    <row r="153" spans="1:24" ht="75" customHeight="1">
      <c r="A153" s="141"/>
      <c r="B153" s="134"/>
      <c r="C153" s="149"/>
      <c r="D153" s="136"/>
      <c r="E153" s="141"/>
      <c r="F153" s="136"/>
      <c r="G153" s="139"/>
      <c r="H153" s="136"/>
      <c r="I153" s="134"/>
      <c r="J153" s="134"/>
      <c r="K153" s="134"/>
      <c r="L153" s="134"/>
      <c r="M153" s="134"/>
      <c r="N153" s="51" t="s">
        <v>39</v>
      </c>
      <c r="O153" s="40" t="s">
        <v>899</v>
      </c>
      <c r="P153" s="40" t="s">
        <v>900</v>
      </c>
      <c r="Q153" s="133"/>
      <c r="R153" s="133"/>
      <c r="S153" s="133"/>
      <c r="T153" s="133"/>
      <c r="U153" s="161"/>
      <c r="V153" s="133"/>
      <c r="W153" s="133"/>
      <c r="X153" s="133"/>
    </row>
    <row r="154" spans="1:24" ht="42.75" customHeight="1">
      <c r="A154" s="140">
        <v>51</v>
      </c>
      <c r="B154" s="134" t="s">
        <v>452</v>
      </c>
      <c r="C154" s="157" t="s">
        <v>382</v>
      </c>
      <c r="D154" s="135" t="s">
        <v>700</v>
      </c>
      <c r="E154" s="141" t="s">
        <v>716</v>
      </c>
      <c r="F154" s="135" t="s">
        <v>700</v>
      </c>
      <c r="G154" s="137"/>
      <c r="H154" s="135" t="s">
        <v>636</v>
      </c>
      <c r="I154" s="134" t="s">
        <v>891</v>
      </c>
      <c r="J154" s="134" t="e">
        <f>#REF!</f>
        <v>#REF!</v>
      </c>
      <c r="K154" s="134" t="e">
        <f>#REF!</f>
        <v>#REF!</v>
      </c>
      <c r="L154" s="134" t="e">
        <f>#REF!</f>
        <v>#REF!</v>
      </c>
      <c r="M154" s="134" t="e">
        <f t="shared" ref="M154" si="98">IF(OR(L154&gt;6), "Non-acceptable","Acceptable")</f>
        <v>#REF!</v>
      </c>
      <c r="N154" s="51" t="s">
        <v>37</v>
      </c>
      <c r="O154" s="48" t="s">
        <v>285</v>
      </c>
      <c r="P154" s="42"/>
      <c r="Q154" s="131" t="e">
        <f>#REF!</f>
        <v>#REF!</v>
      </c>
      <c r="R154" s="131" t="e">
        <f>#REF!</f>
        <v>#REF!</v>
      </c>
      <c r="S154" s="131" t="e">
        <f>#REF!</f>
        <v>#REF!</v>
      </c>
      <c r="T154" s="131" t="e">
        <f t="shared" ref="T154" si="99">IF(OR(S154&gt;6), "Non-acceptable","Acceptable")</f>
        <v>#REF!</v>
      </c>
      <c r="U154" s="150" t="s">
        <v>742</v>
      </c>
      <c r="V154" s="131" t="s">
        <v>793</v>
      </c>
      <c r="W154" s="131" t="s">
        <v>725</v>
      </c>
      <c r="X154" s="131" t="s">
        <v>726</v>
      </c>
    </row>
    <row r="155" spans="1:24" ht="114.75" customHeight="1">
      <c r="A155" s="141"/>
      <c r="B155" s="134"/>
      <c r="C155" s="157"/>
      <c r="D155" s="136"/>
      <c r="E155" s="141"/>
      <c r="F155" s="136"/>
      <c r="G155" s="138"/>
      <c r="H155" s="136"/>
      <c r="I155" s="134"/>
      <c r="J155" s="134"/>
      <c r="K155" s="134"/>
      <c r="L155" s="134"/>
      <c r="M155" s="134"/>
      <c r="N155" s="51" t="s">
        <v>38</v>
      </c>
      <c r="O155" s="40" t="s">
        <v>383</v>
      </c>
      <c r="P155" s="40" t="s">
        <v>384</v>
      </c>
      <c r="Q155" s="132"/>
      <c r="R155" s="132"/>
      <c r="S155" s="132"/>
      <c r="T155" s="132"/>
      <c r="U155" s="160"/>
      <c r="V155" s="132"/>
      <c r="W155" s="132"/>
      <c r="X155" s="132"/>
    </row>
    <row r="156" spans="1:24" ht="60" customHeight="1">
      <c r="A156" s="141"/>
      <c r="B156" s="134"/>
      <c r="C156" s="157"/>
      <c r="D156" s="136"/>
      <c r="E156" s="141"/>
      <c r="F156" s="136"/>
      <c r="G156" s="139"/>
      <c r="H156" s="136"/>
      <c r="I156" s="134"/>
      <c r="J156" s="134"/>
      <c r="K156" s="134"/>
      <c r="L156" s="134"/>
      <c r="M156" s="134"/>
      <c r="N156" s="51" t="s">
        <v>39</v>
      </c>
      <c r="O156" s="48" t="s">
        <v>284</v>
      </c>
      <c r="P156" s="41"/>
      <c r="Q156" s="133"/>
      <c r="R156" s="133"/>
      <c r="S156" s="133"/>
      <c r="T156" s="133"/>
      <c r="U156" s="161"/>
      <c r="V156" s="133"/>
      <c r="W156" s="133"/>
      <c r="X156" s="133"/>
    </row>
    <row r="157" spans="1:24" ht="45" customHeight="1">
      <c r="A157" s="140">
        <v>52</v>
      </c>
      <c r="B157" s="134" t="s">
        <v>452</v>
      </c>
      <c r="C157" s="157" t="s">
        <v>1026</v>
      </c>
      <c r="D157" s="135" t="s">
        <v>637</v>
      </c>
      <c r="E157" s="141" t="s">
        <v>716</v>
      </c>
      <c r="F157" s="135" t="s">
        <v>637</v>
      </c>
      <c r="G157" s="137"/>
      <c r="H157" s="135" t="s">
        <v>638</v>
      </c>
      <c r="I157" s="134" t="s">
        <v>891</v>
      </c>
      <c r="J157" s="134" t="e">
        <f>#REF!</f>
        <v>#REF!</v>
      </c>
      <c r="K157" s="134" t="e">
        <f>#REF!</f>
        <v>#REF!</v>
      </c>
      <c r="L157" s="134" t="e">
        <f>#REF!</f>
        <v>#REF!</v>
      </c>
      <c r="M157" s="134" t="e">
        <f t="shared" ref="M157" si="100">IF(OR(L157&gt;6), "Non-acceptable","Acceptable")</f>
        <v>#REF!</v>
      </c>
      <c r="N157" s="51" t="s">
        <v>37</v>
      </c>
      <c r="O157" s="48" t="s">
        <v>545</v>
      </c>
      <c r="P157" s="42"/>
      <c r="Q157" s="131" t="e">
        <f>#REF!</f>
        <v>#REF!</v>
      </c>
      <c r="R157" s="131" t="e">
        <f>#REF!</f>
        <v>#REF!</v>
      </c>
      <c r="S157" s="131" t="e">
        <f>#REF!</f>
        <v>#REF!</v>
      </c>
      <c r="T157" s="131" t="e">
        <f t="shared" ref="T157" si="101">IF(OR(S157&gt;6), "Non-acceptable","Acceptable")</f>
        <v>#REF!</v>
      </c>
      <c r="U157" s="150" t="s">
        <v>742</v>
      </c>
      <c r="V157" s="131" t="s">
        <v>724</v>
      </c>
      <c r="W157" s="131" t="s">
        <v>797</v>
      </c>
      <c r="X157" s="131" t="s">
        <v>726</v>
      </c>
    </row>
    <row r="158" spans="1:24" ht="54.75" customHeight="1">
      <c r="A158" s="141"/>
      <c r="B158" s="134"/>
      <c r="C158" s="157"/>
      <c r="D158" s="136"/>
      <c r="E158" s="141"/>
      <c r="F158" s="136"/>
      <c r="G158" s="138"/>
      <c r="H158" s="136"/>
      <c r="I158" s="134"/>
      <c r="J158" s="134"/>
      <c r="K158" s="134"/>
      <c r="L158" s="134"/>
      <c r="M158" s="134"/>
      <c r="N158" s="51" t="s">
        <v>38</v>
      </c>
      <c r="O158" s="40" t="s">
        <v>385</v>
      </c>
      <c r="P158" s="40" t="s">
        <v>386</v>
      </c>
      <c r="Q158" s="132"/>
      <c r="R158" s="132"/>
      <c r="S158" s="132"/>
      <c r="T158" s="132"/>
      <c r="U158" s="160"/>
      <c r="V158" s="132"/>
      <c r="W158" s="132"/>
      <c r="X158" s="132"/>
    </row>
    <row r="159" spans="1:24" ht="30.75" customHeight="1">
      <c r="A159" s="141"/>
      <c r="B159" s="134"/>
      <c r="C159" s="157"/>
      <c r="D159" s="136"/>
      <c r="E159" s="141"/>
      <c r="F159" s="136"/>
      <c r="G159" s="139"/>
      <c r="H159" s="136"/>
      <c r="I159" s="134"/>
      <c r="J159" s="134"/>
      <c r="K159" s="134"/>
      <c r="L159" s="134"/>
      <c r="M159" s="134"/>
      <c r="N159" s="51" t="s">
        <v>39</v>
      </c>
      <c r="O159" s="48" t="s">
        <v>284</v>
      </c>
      <c r="P159" s="41"/>
      <c r="Q159" s="133"/>
      <c r="R159" s="133"/>
      <c r="S159" s="133"/>
      <c r="T159" s="133"/>
      <c r="U159" s="161"/>
      <c r="V159" s="133"/>
      <c r="W159" s="133"/>
      <c r="X159" s="133"/>
    </row>
    <row r="160" spans="1:24" ht="42" customHeight="1">
      <c r="A160" s="140">
        <v>53</v>
      </c>
      <c r="B160" s="134" t="s">
        <v>455</v>
      </c>
      <c r="C160" s="157" t="s">
        <v>1026</v>
      </c>
      <c r="D160" s="135" t="s">
        <v>639</v>
      </c>
      <c r="E160" s="141" t="s">
        <v>716</v>
      </c>
      <c r="F160" s="135" t="s">
        <v>639</v>
      </c>
      <c r="G160" s="137"/>
      <c r="H160" s="135" t="s">
        <v>638</v>
      </c>
      <c r="I160" s="134" t="s">
        <v>891</v>
      </c>
      <c r="J160" s="134" t="e">
        <f>#REF!</f>
        <v>#REF!</v>
      </c>
      <c r="K160" s="134" t="e">
        <f>#REF!</f>
        <v>#REF!</v>
      </c>
      <c r="L160" s="134" t="e">
        <f>#REF!</f>
        <v>#REF!</v>
      </c>
      <c r="M160" s="134" t="e">
        <f t="shared" ref="M160" si="102">IF(OR(L160&gt;6), "Non-acceptable","Acceptable")</f>
        <v>#REF!</v>
      </c>
      <c r="N160" s="51" t="s">
        <v>37</v>
      </c>
      <c r="O160" s="40" t="s">
        <v>519</v>
      </c>
      <c r="P160" s="40" t="s">
        <v>31</v>
      </c>
      <c r="Q160" s="131" t="e">
        <f>#REF!</f>
        <v>#REF!</v>
      </c>
      <c r="R160" s="131" t="e">
        <f>#REF!</f>
        <v>#REF!</v>
      </c>
      <c r="S160" s="131" t="e">
        <f>#REF!</f>
        <v>#REF!</v>
      </c>
      <c r="T160" s="131" t="e">
        <f t="shared" ref="T160" si="103">IF(OR(S160&gt;6), "Non-acceptable","Acceptable")</f>
        <v>#REF!</v>
      </c>
      <c r="U160" s="150" t="s">
        <v>742</v>
      </c>
      <c r="V160" s="131" t="s">
        <v>724</v>
      </c>
      <c r="W160" s="131" t="s">
        <v>725</v>
      </c>
      <c r="X160" s="131" t="s">
        <v>726</v>
      </c>
    </row>
    <row r="161" spans="1:24" ht="131.25">
      <c r="A161" s="141"/>
      <c r="B161" s="134"/>
      <c r="C161" s="157"/>
      <c r="D161" s="136"/>
      <c r="E161" s="141"/>
      <c r="F161" s="136"/>
      <c r="G161" s="138"/>
      <c r="H161" s="136"/>
      <c r="I161" s="134"/>
      <c r="J161" s="134"/>
      <c r="K161" s="134"/>
      <c r="L161" s="134"/>
      <c r="M161" s="134"/>
      <c r="N161" s="51" t="s">
        <v>38</v>
      </c>
      <c r="O161" s="40" t="s">
        <v>387</v>
      </c>
      <c r="P161" s="40" t="s">
        <v>388</v>
      </c>
      <c r="Q161" s="132"/>
      <c r="R161" s="132"/>
      <c r="S161" s="132"/>
      <c r="T161" s="132"/>
      <c r="U161" s="160"/>
      <c r="V161" s="132"/>
      <c r="W161" s="132"/>
      <c r="X161" s="132"/>
    </row>
    <row r="162" spans="1:24" ht="22.5" customHeight="1">
      <c r="A162" s="141"/>
      <c r="B162" s="134"/>
      <c r="C162" s="157"/>
      <c r="D162" s="136"/>
      <c r="E162" s="141"/>
      <c r="F162" s="136"/>
      <c r="G162" s="139"/>
      <c r="H162" s="136"/>
      <c r="I162" s="134"/>
      <c r="J162" s="134"/>
      <c r="K162" s="134"/>
      <c r="L162" s="134"/>
      <c r="M162" s="134"/>
      <c r="N162" s="51" t="s">
        <v>39</v>
      </c>
      <c r="O162" s="40" t="s">
        <v>284</v>
      </c>
      <c r="P162" s="41"/>
      <c r="Q162" s="133"/>
      <c r="R162" s="133"/>
      <c r="S162" s="133"/>
      <c r="T162" s="133"/>
      <c r="U162" s="161"/>
      <c r="V162" s="133"/>
      <c r="W162" s="133"/>
      <c r="X162" s="133"/>
    </row>
    <row r="163" spans="1:24" ht="45" customHeight="1">
      <c r="A163" s="140">
        <v>54</v>
      </c>
      <c r="B163" s="134" t="s">
        <v>452</v>
      </c>
      <c r="C163" s="157" t="s">
        <v>382</v>
      </c>
      <c r="D163" s="135" t="s">
        <v>640</v>
      </c>
      <c r="E163" s="141" t="s">
        <v>716</v>
      </c>
      <c r="F163" s="135" t="s">
        <v>640</v>
      </c>
      <c r="G163" s="137"/>
      <c r="H163" s="135" t="s">
        <v>636</v>
      </c>
      <c r="I163" s="134" t="s">
        <v>891</v>
      </c>
      <c r="J163" s="134" t="e">
        <f>#REF!</f>
        <v>#REF!</v>
      </c>
      <c r="K163" s="134" t="e">
        <f>#REF!</f>
        <v>#REF!</v>
      </c>
      <c r="L163" s="134" t="e">
        <f>#REF!</f>
        <v>#REF!</v>
      </c>
      <c r="M163" s="134" t="e">
        <f t="shared" ref="M163" si="104">IF(OR(L163&gt;6), "Non-acceptable","Acceptable")</f>
        <v>#REF!</v>
      </c>
      <c r="N163" s="51" t="s">
        <v>37</v>
      </c>
      <c r="O163" s="40" t="s">
        <v>285</v>
      </c>
      <c r="P163" s="42"/>
      <c r="Q163" s="131" t="e">
        <f>#REF!</f>
        <v>#REF!</v>
      </c>
      <c r="R163" s="131" t="e">
        <f>#REF!</f>
        <v>#REF!</v>
      </c>
      <c r="S163" s="131" t="e">
        <f>#REF!</f>
        <v>#REF!</v>
      </c>
      <c r="T163" s="131" t="e">
        <f t="shared" ref="T163" si="105">IF(OR(S163&gt;6), "Non-acceptable","Acceptable")</f>
        <v>#REF!</v>
      </c>
      <c r="U163" s="150" t="s">
        <v>742</v>
      </c>
      <c r="V163" s="131" t="s">
        <v>724</v>
      </c>
      <c r="W163" s="131" t="s">
        <v>725</v>
      </c>
      <c r="X163" s="131" t="s">
        <v>726</v>
      </c>
    </row>
    <row r="164" spans="1:24" ht="118.15">
      <c r="A164" s="141"/>
      <c r="B164" s="134"/>
      <c r="C164" s="157"/>
      <c r="D164" s="136"/>
      <c r="E164" s="141"/>
      <c r="F164" s="136"/>
      <c r="G164" s="138"/>
      <c r="H164" s="136"/>
      <c r="I164" s="134"/>
      <c r="J164" s="134"/>
      <c r="K164" s="134"/>
      <c r="L164" s="134"/>
      <c r="M164" s="134"/>
      <c r="N164" s="51" t="s">
        <v>38</v>
      </c>
      <c r="O164" s="40" t="s">
        <v>389</v>
      </c>
      <c r="P164" s="40" t="s">
        <v>390</v>
      </c>
      <c r="Q164" s="132"/>
      <c r="R164" s="132"/>
      <c r="S164" s="132"/>
      <c r="T164" s="132"/>
      <c r="U164" s="160"/>
      <c r="V164" s="132"/>
      <c r="W164" s="132"/>
      <c r="X164" s="132"/>
    </row>
    <row r="165" spans="1:24" ht="31.5" customHeight="1">
      <c r="A165" s="141"/>
      <c r="B165" s="134"/>
      <c r="C165" s="157"/>
      <c r="D165" s="136"/>
      <c r="E165" s="141"/>
      <c r="F165" s="136"/>
      <c r="G165" s="139"/>
      <c r="H165" s="136"/>
      <c r="I165" s="134"/>
      <c r="J165" s="134"/>
      <c r="K165" s="134"/>
      <c r="L165" s="134"/>
      <c r="M165" s="134"/>
      <c r="N165" s="51" t="s">
        <v>39</v>
      </c>
      <c r="O165" s="48" t="s">
        <v>284</v>
      </c>
      <c r="P165" s="41"/>
      <c r="Q165" s="133"/>
      <c r="R165" s="133"/>
      <c r="S165" s="133"/>
      <c r="T165" s="133"/>
      <c r="U165" s="161"/>
      <c r="V165" s="133"/>
      <c r="W165" s="133"/>
      <c r="X165" s="133"/>
    </row>
    <row r="166" spans="1:24" ht="44.25" customHeight="1">
      <c r="A166" s="142">
        <v>55</v>
      </c>
      <c r="B166" s="134" t="s">
        <v>477</v>
      </c>
      <c r="C166" s="143" t="s">
        <v>1027</v>
      </c>
      <c r="D166" s="145" t="s">
        <v>901</v>
      </c>
      <c r="E166" s="141" t="s">
        <v>716</v>
      </c>
      <c r="F166" s="145" t="s">
        <v>901</v>
      </c>
      <c r="G166" s="137"/>
      <c r="H166" s="145" t="s">
        <v>902</v>
      </c>
      <c r="I166" s="131" t="s">
        <v>478</v>
      </c>
      <c r="J166" s="134" t="e">
        <f>#REF!</f>
        <v>#REF!</v>
      </c>
      <c r="K166" s="134" t="e">
        <f>#REF!</f>
        <v>#REF!</v>
      </c>
      <c r="L166" s="134" t="e">
        <f>#REF!</f>
        <v>#REF!</v>
      </c>
      <c r="M166" s="134" t="e">
        <f t="shared" ref="M166" si="106">IF(OR(L166&gt;6), "Non-acceptable","Acceptable")</f>
        <v>#REF!</v>
      </c>
      <c r="N166" s="51" t="s">
        <v>37</v>
      </c>
      <c r="O166" s="48" t="s">
        <v>285</v>
      </c>
      <c r="P166" s="40"/>
      <c r="Q166" s="131" t="e">
        <f>#REF!</f>
        <v>#REF!</v>
      </c>
      <c r="R166" s="131" t="e">
        <f>#REF!</f>
        <v>#REF!</v>
      </c>
      <c r="S166" s="131" t="e">
        <f>#REF!</f>
        <v>#REF!</v>
      </c>
      <c r="T166" s="131" t="e">
        <f t="shared" ref="T166" si="107">IF(OR(S166&gt;6), "Non-acceptable","Acceptable")</f>
        <v>#REF!</v>
      </c>
      <c r="U166" s="150" t="s">
        <v>742</v>
      </c>
      <c r="V166" s="131" t="s">
        <v>724</v>
      </c>
      <c r="W166" s="131" t="s">
        <v>725</v>
      </c>
      <c r="X166" s="131" t="s">
        <v>794</v>
      </c>
    </row>
    <row r="167" spans="1:24" ht="51.75" customHeight="1">
      <c r="A167" s="141"/>
      <c r="B167" s="134"/>
      <c r="C167" s="144"/>
      <c r="D167" s="146"/>
      <c r="E167" s="141"/>
      <c r="F167" s="146"/>
      <c r="G167" s="138"/>
      <c r="H167" s="146"/>
      <c r="I167" s="132"/>
      <c r="J167" s="134"/>
      <c r="K167" s="134"/>
      <c r="L167" s="134"/>
      <c r="M167" s="134"/>
      <c r="N167" s="51" t="s">
        <v>38</v>
      </c>
      <c r="O167" s="48" t="s">
        <v>479</v>
      </c>
      <c r="P167" s="48" t="s">
        <v>480</v>
      </c>
      <c r="Q167" s="132"/>
      <c r="R167" s="132"/>
      <c r="S167" s="132"/>
      <c r="T167" s="132"/>
      <c r="U167" s="160"/>
      <c r="V167" s="132"/>
      <c r="W167" s="132"/>
      <c r="X167" s="132"/>
    </row>
    <row r="168" spans="1:24" ht="36" customHeight="1">
      <c r="A168" s="141"/>
      <c r="B168" s="134"/>
      <c r="C168" s="144"/>
      <c r="D168" s="147"/>
      <c r="E168" s="141"/>
      <c r="F168" s="147"/>
      <c r="G168" s="139"/>
      <c r="H168" s="147"/>
      <c r="I168" s="133"/>
      <c r="J168" s="134"/>
      <c r="K168" s="134"/>
      <c r="L168" s="134"/>
      <c r="M168" s="134"/>
      <c r="N168" s="51" t="s">
        <v>39</v>
      </c>
      <c r="O168" s="48" t="s">
        <v>284</v>
      </c>
      <c r="P168" s="41"/>
      <c r="Q168" s="133"/>
      <c r="R168" s="133"/>
      <c r="S168" s="133"/>
      <c r="T168" s="133"/>
      <c r="U168" s="161"/>
      <c r="V168" s="133"/>
      <c r="W168" s="133"/>
      <c r="X168" s="133"/>
    </row>
    <row r="169" spans="1:24" ht="32.450000000000003" customHeight="1">
      <c r="A169" s="142">
        <v>56</v>
      </c>
      <c r="B169" s="134" t="s">
        <v>427</v>
      </c>
      <c r="C169" s="143" t="s">
        <v>1028</v>
      </c>
      <c r="D169" s="137" t="s">
        <v>641</v>
      </c>
      <c r="E169" s="141" t="s">
        <v>40</v>
      </c>
      <c r="F169" s="137" t="s">
        <v>641</v>
      </c>
      <c r="G169" s="137"/>
      <c r="H169" s="142" t="s">
        <v>642</v>
      </c>
      <c r="I169" s="131" t="s">
        <v>426</v>
      </c>
      <c r="J169" s="134" t="e">
        <f>#REF!</f>
        <v>#REF!</v>
      </c>
      <c r="K169" s="134" t="e">
        <f>#REF!</f>
        <v>#REF!</v>
      </c>
      <c r="L169" s="134" t="e">
        <f>#REF!</f>
        <v>#REF!</v>
      </c>
      <c r="M169" s="134" t="e">
        <f t="shared" ref="M169" si="108">IF(OR(L169&gt;6), "Non-acceptable","Acceptable")</f>
        <v>#REF!</v>
      </c>
      <c r="N169" s="51" t="s">
        <v>37</v>
      </c>
      <c r="O169" s="48" t="s">
        <v>270</v>
      </c>
      <c r="P169" s="48"/>
      <c r="Q169" s="131" t="e">
        <f>#REF!</f>
        <v>#REF!</v>
      </c>
      <c r="R169" s="131" t="e">
        <f>#REF!</f>
        <v>#REF!</v>
      </c>
      <c r="S169" s="131" t="e">
        <f>#REF!</f>
        <v>#REF!</v>
      </c>
      <c r="T169" s="131" t="e">
        <f t="shared" ref="T169" si="109">IF(OR(S169&gt;6), "Non-acceptable","Acceptable")</f>
        <v>#REF!</v>
      </c>
      <c r="U169" s="159" t="s">
        <v>751</v>
      </c>
      <c r="V169" s="131" t="s">
        <v>724</v>
      </c>
      <c r="W169" s="131" t="s">
        <v>725</v>
      </c>
      <c r="X169" s="131" t="s">
        <v>726</v>
      </c>
    </row>
    <row r="170" spans="1:24" ht="34.5" customHeight="1">
      <c r="A170" s="141"/>
      <c r="B170" s="134"/>
      <c r="C170" s="143"/>
      <c r="D170" s="132"/>
      <c r="E170" s="141"/>
      <c r="F170" s="132"/>
      <c r="G170" s="138"/>
      <c r="H170" s="134"/>
      <c r="I170" s="132"/>
      <c r="J170" s="134"/>
      <c r="K170" s="134"/>
      <c r="L170" s="134"/>
      <c r="M170" s="134"/>
      <c r="N170" s="51" t="s">
        <v>38</v>
      </c>
      <c r="O170" s="48" t="s">
        <v>420</v>
      </c>
      <c r="P170" s="42"/>
      <c r="Q170" s="132"/>
      <c r="R170" s="132"/>
      <c r="S170" s="132"/>
      <c r="T170" s="132"/>
      <c r="U170" s="160"/>
      <c r="V170" s="132"/>
      <c r="W170" s="132"/>
      <c r="X170" s="132"/>
    </row>
    <row r="171" spans="1:24" ht="153" customHeight="1">
      <c r="A171" s="141"/>
      <c r="B171" s="134"/>
      <c r="C171" s="143"/>
      <c r="D171" s="133"/>
      <c r="E171" s="141"/>
      <c r="F171" s="133"/>
      <c r="G171" s="139"/>
      <c r="H171" s="134"/>
      <c r="I171" s="133"/>
      <c r="J171" s="134"/>
      <c r="K171" s="134"/>
      <c r="L171" s="134"/>
      <c r="M171" s="134"/>
      <c r="N171" s="51" t="s">
        <v>39</v>
      </c>
      <c r="O171" s="40" t="s">
        <v>903</v>
      </c>
      <c r="P171" s="40" t="s">
        <v>904</v>
      </c>
      <c r="Q171" s="133"/>
      <c r="R171" s="133"/>
      <c r="S171" s="133"/>
      <c r="T171" s="133"/>
      <c r="U171" s="161"/>
      <c r="V171" s="133"/>
      <c r="W171" s="133"/>
      <c r="X171" s="133"/>
    </row>
    <row r="172" spans="1:24" ht="39.75" customHeight="1">
      <c r="A172" s="142">
        <v>57</v>
      </c>
      <c r="B172" s="134" t="s">
        <v>454</v>
      </c>
      <c r="C172" s="143" t="s">
        <v>1018</v>
      </c>
      <c r="D172" s="131" t="s">
        <v>546</v>
      </c>
      <c r="E172" s="141" t="s">
        <v>40</v>
      </c>
      <c r="F172" s="131" t="s">
        <v>546</v>
      </c>
      <c r="G172" s="137"/>
      <c r="H172" s="142" t="s">
        <v>642</v>
      </c>
      <c r="I172" s="131" t="s">
        <v>426</v>
      </c>
      <c r="J172" s="134" t="e">
        <f>#REF!</f>
        <v>#REF!</v>
      </c>
      <c r="K172" s="134" t="e">
        <f>#REF!</f>
        <v>#REF!</v>
      </c>
      <c r="L172" s="134" t="e">
        <f>#REF!</f>
        <v>#REF!</v>
      </c>
      <c r="M172" s="134" t="e">
        <f t="shared" ref="M172" si="110">IF(OR(L172&gt;6), "Non-acceptable","Acceptable")</f>
        <v>#REF!</v>
      </c>
      <c r="N172" s="51" t="s">
        <v>0</v>
      </c>
      <c r="O172" s="48" t="s">
        <v>425</v>
      </c>
      <c r="P172" s="48" t="s">
        <v>424</v>
      </c>
      <c r="Q172" s="131" t="e">
        <f>#REF!</f>
        <v>#REF!</v>
      </c>
      <c r="R172" s="131" t="e">
        <f>#REF!</f>
        <v>#REF!</v>
      </c>
      <c r="S172" s="131" t="e">
        <f>#REF!</f>
        <v>#REF!</v>
      </c>
      <c r="T172" s="131" t="e">
        <f t="shared" ref="T172" si="111">IF(OR(S172&gt;6), "Non-acceptable","Acceptable")</f>
        <v>#REF!</v>
      </c>
      <c r="U172" s="150" t="s">
        <v>752</v>
      </c>
      <c r="V172" s="131" t="s">
        <v>724</v>
      </c>
      <c r="W172" s="131" t="s">
        <v>725</v>
      </c>
      <c r="X172" s="131" t="s">
        <v>726</v>
      </c>
    </row>
    <row r="173" spans="1:24" ht="62.25" customHeight="1">
      <c r="A173" s="141"/>
      <c r="B173" s="134"/>
      <c r="C173" s="143"/>
      <c r="D173" s="132"/>
      <c r="E173" s="141"/>
      <c r="F173" s="132"/>
      <c r="G173" s="138"/>
      <c r="H173" s="134"/>
      <c r="I173" s="132"/>
      <c r="J173" s="134"/>
      <c r="K173" s="134"/>
      <c r="L173" s="134"/>
      <c r="M173" s="134"/>
      <c r="N173" s="51" t="s">
        <v>1</v>
      </c>
      <c r="O173" s="40" t="s">
        <v>423</v>
      </c>
      <c r="P173" s="40" t="s">
        <v>422</v>
      </c>
      <c r="Q173" s="132"/>
      <c r="R173" s="132"/>
      <c r="S173" s="132"/>
      <c r="T173" s="132"/>
      <c r="U173" s="160"/>
      <c r="V173" s="132"/>
      <c r="W173" s="132"/>
      <c r="X173" s="132"/>
    </row>
    <row r="174" spans="1:24" ht="115.5" customHeight="1">
      <c r="A174" s="141"/>
      <c r="B174" s="134"/>
      <c r="C174" s="143"/>
      <c r="D174" s="133"/>
      <c r="E174" s="141"/>
      <c r="F174" s="133"/>
      <c r="G174" s="139"/>
      <c r="H174" s="134"/>
      <c r="I174" s="133"/>
      <c r="J174" s="134"/>
      <c r="K174" s="134"/>
      <c r="L174" s="134"/>
      <c r="M174" s="134"/>
      <c r="N174" s="51" t="s">
        <v>2</v>
      </c>
      <c r="O174" s="48" t="s">
        <v>905</v>
      </c>
      <c r="P174" s="40" t="s">
        <v>851</v>
      </c>
      <c r="Q174" s="133"/>
      <c r="R174" s="133"/>
      <c r="S174" s="133"/>
      <c r="T174" s="133"/>
      <c r="U174" s="161"/>
      <c r="V174" s="133"/>
      <c r="W174" s="133"/>
      <c r="X174" s="133"/>
    </row>
    <row r="175" spans="1:24" ht="60" customHeight="1">
      <c r="A175" s="142">
        <v>58</v>
      </c>
      <c r="B175" s="134" t="s">
        <v>453</v>
      </c>
      <c r="C175" s="143" t="s">
        <v>1029</v>
      </c>
      <c r="D175" s="145" t="s">
        <v>643</v>
      </c>
      <c r="E175" s="141" t="s">
        <v>716</v>
      </c>
      <c r="F175" s="145" t="s">
        <v>643</v>
      </c>
      <c r="G175" s="137"/>
      <c r="H175" s="145" t="s">
        <v>902</v>
      </c>
      <c r="I175" s="131" t="s">
        <v>264</v>
      </c>
      <c r="J175" s="134" t="e">
        <f>#REF!</f>
        <v>#REF!</v>
      </c>
      <c r="K175" s="134" t="e">
        <f>#REF!</f>
        <v>#REF!</v>
      </c>
      <c r="L175" s="134" t="e">
        <f>#REF!</f>
        <v>#REF!</v>
      </c>
      <c r="M175" s="134" t="e">
        <f t="shared" ref="M175" si="112">IF(OR(L175&gt;6), "Non-acceptable","Acceptable")</f>
        <v>#REF!</v>
      </c>
      <c r="N175" s="51" t="s">
        <v>37</v>
      </c>
      <c r="O175" s="40" t="s">
        <v>547</v>
      </c>
      <c r="P175" s="40" t="s">
        <v>35</v>
      </c>
      <c r="Q175" s="131" t="e">
        <f>#REF!</f>
        <v>#REF!</v>
      </c>
      <c r="R175" s="131" t="e">
        <f>#REF!</f>
        <v>#REF!</v>
      </c>
      <c r="S175" s="131" t="e">
        <f>#REF!</f>
        <v>#REF!</v>
      </c>
      <c r="T175" s="131" t="e">
        <f t="shared" ref="T175" si="113">IF(OR(S175&gt;6), "Non-acceptable","Acceptable")</f>
        <v>#REF!</v>
      </c>
      <c r="U175" s="150" t="s">
        <v>742</v>
      </c>
      <c r="V175" s="131" t="s">
        <v>724</v>
      </c>
      <c r="W175" s="131" t="s">
        <v>725</v>
      </c>
      <c r="X175" s="131" t="s">
        <v>726</v>
      </c>
    </row>
    <row r="176" spans="1:24" ht="52.5">
      <c r="A176" s="141"/>
      <c r="B176" s="134"/>
      <c r="C176" s="144"/>
      <c r="D176" s="146"/>
      <c r="E176" s="141"/>
      <c r="F176" s="146"/>
      <c r="G176" s="138"/>
      <c r="H176" s="146"/>
      <c r="I176" s="132"/>
      <c r="J176" s="134"/>
      <c r="K176" s="134"/>
      <c r="L176" s="134"/>
      <c r="M176" s="134"/>
      <c r="N176" s="51" t="s">
        <v>38</v>
      </c>
      <c r="O176" s="40" t="s">
        <v>181</v>
      </c>
      <c r="P176" s="40" t="s">
        <v>173</v>
      </c>
      <c r="Q176" s="132"/>
      <c r="R176" s="132"/>
      <c r="S176" s="132"/>
      <c r="T176" s="132"/>
      <c r="U176" s="160"/>
      <c r="V176" s="132"/>
      <c r="W176" s="132"/>
      <c r="X176" s="132"/>
    </row>
    <row r="177" spans="1:24" ht="32.25" customHeight="1">
      <c r="A177" s="141"/>
      <c r="B177" s="134"/>
      <c r="C177" s="144"/>
      <c r="D177" s="147"/>
      <c r="E177" s="141"/>
      <c r="F177" s="147"/>
      <c r="G177" s="139"/>
      <c r="H177" s="147"/>
      <c r="I177" s="133"/>
      <c r="J177" s="134"/>
      <c r="K177" s="134"/>
      <c r="L177" s="134"/>
      <c r="M177" s="134"/>
      <c r="N177" s="51" t="s">
        <v>39</v>
      </c>
      <c r="O177" s="48" t="s">
        <v>284</v>
      </c>
      <c r="P177" s="41"/>
      <c r="Q177" s="133"/>
      <c r="R177" s="133"/>
      <c r="S177" s="133"/>
      <c r="T177" s="133"/>
      <c r="U177" s="161"/>
      <c r="V177" s="133"/>
      <c r="W177" s="133"/>
      <c r="X177" s="133"/>
    </row>
    <row r="178" spans="1:24" ht="33.75" customHeight="1">
      <c r="A178" s="142">
        <v>59</v>
      </c>
      <c r="B178" s="134" t="s">
        <v>482</v>
      </c>
      <c r="C178" s="149" t="s">
        <v>1021</v>
      </c>
      <c r="D178" s="150" t="s">
        <v>644</v>
      </c>
      <c r="E178" s="141" t="s">
        <v>716</v>
      </c>
      <c r="F178" s="150" t="s">
        <v>644</v>
      </c>
      <c r="G178" s="137"/>
      <c r="H178" s="135" t="s">
        <v>890</v>
      </c>
      <c r="I178" s="134" t="s">
        <v>891</v>
      </c>
      <c r="J178" s="134" t="e">
        <f>#REF!</f>
        <v>#REF!</v>
      </c>
      <c r="K178" s="134" t="e">
        <f>#REF!</f>
        <v>#REF!</v>
      </c>
      <c r="L178" s="134" t="e">
        <f>#REF!</f>
        <v>#REF!</v>
      </c>
      <c r="M178" s="134" t="e">
        <f t="shared" ref="M178" si="114">IF(OR(L178&gt;6), "Non-acceptable","Acceptable")</f>
        <v>#REF!</v>
      </c>
      <c r="N178" s="51" t="s">
        <v>37</v>
      </c>
      <c r="O178" s="40" t="s">
        <v>285</v>
      </c>
      <c r="P178" s="42"/>
      <c r="Q178" s="131" t="e">
        <f>#REF!</f>
        <v>#REF!</v>
      </c>
      <c r="R178" s="131" t="e">
        <f>#REF!</f>
        <v>#REF!</v>
      </c>
      <c r="S178" s="131" t="e">
        <f>#REF!</f>
        <v>#REF!</v>
      </c>
      <c r="T178" s="131" t="e">
        <f t="shared" ref="T178" si="115">IF(OR(S178&gt;6), "Non-acceptable","Acceptable")</f>
        <v>#REF!</v>
      </c>
      <c r="U178" s="150" t="s">
        <v>742</v>
      </c>
      <c r="V178" s="131" t="s">
        <v>724</v>
      </c>
      <c r="W178" s="131" t="s">
        <v>725</v>
      </c>
      <c r="X178" s="131" t="s">
        <v>726</v>
      </c>
    </row>
    <row r="179" spans="1:24" ht="170.65">
      <c r="A179" s="141"/>
      <c r="B179" s="134"/>
      <c r="C179" s="149"/>
      <c r="D179" s="151"/>
      <c r="E179" s="141"/>
      <c r="F179" s="151"/>
      <c r="G179" s="138"/>
      <c r="H179" s="136"/>
      <c r="I179" s="134"/>
      <c r="J179" s="134"/>
      <c r="K179" s="134"/>
      <c r="L179" s="134"/>
      <c r="M179" s="134"/>
      <c r="N179" s="51" t="s">
        <v>38</v>
      </c>
      <c r="O179" s="40" t="s">
        <v>906</v>
      </c>
      <c r="P179" s="40" t="s">
        <v>907</v>
      </c>
      <c r="Q179" s="132"/>
      <c r="R179" s="132"/>
      <c r="S179" s="132"/>
      <c r="T179" s="132"/>
      <c r="U179" s="160"/>
      <c r="V179" s="132"/>
      <c r="W179" s="132"/>
      <c r="X179" s="132"/>
    </row>
    <row r="180" spans="1:24" ht="24.75" customHeight="1">
      <c r="A180" s="141"/>
      <c r="B180" s="134"/>
      <c r="C180" s="149"/>
      <c r="D180" s="152"/>
      <c r="E180" s="141"/>
      <c r="F180" s="152"/>
      <c r="G180" s="139"/>
      <c r="H180" s="136"/>
      <c r="I180" s="134"/>
      <c r="J180" s="134"/>
      <c r="K180" s="134"/>
      <c r="L180" s="134"/>
      <c r="M180" s="134"/>
      <c r="N180" s="51" t="s">
        <v>39</v>
      </c>
      <c r="O180" s="40" t="s">
        <v>284</v>
      </c>
      <c r="P180" s="41"/>
      <c r="Q180" s="133"/>
      <c r="R180" s="133"/>
      <c r="S180" s="133"/>
      <c r="T180" s="133"/>
      <c r="U180" s="161"/>
      <c r="V180" s="133"/>
      <c r="W180" s="133"/>
      <c r="X180" s="133"/>
    </row>
    <row r="181" spans="1:24" ht="43.5" customHeight="1">
      <c r="A181" s="142">
        <v>60</v>
      </c>
      <c r="B181" s="134" t="s">
        <v>457</v>
      </c>
      <c r="C181" s="149" t="s">
        <v>1021</v>
      </c>
      <c r="D181" s="150" t="s">
        <v>645</v>
      </c>
      <c r="E181" s="141" t="s">
        <v>716</v>
      </c>
      <c r="F181" s="150" t="s">
        <v>645</v>
      </c>
      <c r="G181" s="137"/>
      <c r="H181" s="135" t="s">
        <v>890</v>
      </c>
      <c r="I181" s="134" t="s">
        <v>396</v>
      </c>
      <c r="J181" s="134" t="e">
        <f>#REF!</f>
        <v>#REF!</v>
      </c>
      <c r="K181" s="134" t="e">
        <f>#REF!</f>
        <v>#REF!</v>
      </c>
      <c r="L181" s="134" t="e">
        <f>#REF!</f>
        <v>#REF!</v>
      </c>
      <c r="M181" s="134" t="e">
        <f t="shared" ref="M181" si="116">IF(OR(L181&gt;6), "Non-acceptable","Acceptable")</f>
        <v>#REF!</v>
      </c>
      <c r="N181" s="51" t="s">
        <v>37</v>
      </c>
      <c r="O181" s="48" t="s">
        <v>285</v>
      </c>
      <c r="P181" s="42"/>
      <c r="Q181" s="131" t="e">
        <f>#REF!</f>
        <v>#REF!</v>
      </c>
      <c r="R181" s="131" t="e">
        <f>#REF!</f>
        <v>#REF!</v>
      </c>
      <c r="S181" s="131" t="e">
        <f>#REF!</f>
        <v>#REF!</v>
      </c>
      <c r="T181" s="131" t="e">
        <f t="shared" ref="T181" si="117">IF(OR(S181&gt;6), "Non-acceptable","Acceptable")</f>
        <v>#REF!</v>
      </c>
      <c r="U181" s="150" t="s">
        <v>742</v>
      </c>
      <c r="V181" s="131" t="s">
        <v>724</v>
      </c>
      <c r="W181" s="131" t="s">
        <v>725</v>
      </c>
      <c r="X181" s="131" t="s">
        <v>726</v>
      </c>
    </row>
    <row r="182" spans="1:24" ht="89.25" customHeight="1">
      <c r="A182" s="141"/>
      <c r="B182" s="134"/>
      <c r="C182" s="149"/>
      <c r="D182" s="151"/>
      <c r="E182" s="141"/>
      <c r="F182" s="151"/>
      <c r="G182" s="138"/>
      <c r="H182" s="136"/>
      <c r="I182" s="134"/>
      <c r="J182" s="134"/>
      <c r="K182" s="134"/>
      <c r="L182" s="134"/>
      <c r="M182" s="134"/>
      <c r="N182" s="51" t="s">
        <v>38</v>
      </c>
      <c r="O182" s="40" t="s">
        <v>397</v>
      </c>
      <c r="P182" s="40" t="s">
        <v>548</v>
      </c>
      <c r="Q182" s="132"/>
      <c r="R182" s="132"/>
      <c r="S182" s="132"/>
      <c r="T182" s="132"/>
      <c r="U182" s="160"/>
      <c r="V182" s="132"/>
      <c r="W182" s="132"/>
      <c r="X182" s="132"/>
    </row>
    <row r="183" spans="1:24" ht="37.5" customHeight="1">
      <c r="A183" s="141"/>
      <c r="B183" s="134"/>
      <c r="C183" s="149"/>
      <c r="D183" s="152"/>
      <c r="E183" s="141"/>
      <c r="F183" s="152"/>
      <c r="G183" s="139"/>
      <c r="H183" s="136"/>
      <c r="I183" s="134"/>
      <c r="J183" s="134"/>
      <c r="K183" s="134"/>
      <c r="L183" s="134"/>
      <c r="M183" s="134"/>
      <c r="N183" s="51" t="s">
        <v>39</v>
      </c>
      <c r="O183" s="48" t="s">
        <v>284</v>
      </c>
      <c r="P183" s="41"/>
      <c r="Q183" s="133"/>
      <c r="R183" s="133"/>
      <c r="S183" s="133"/>
      <c r="T183" s="133"/>
      <c r="U183" s="161"/>
      <c r="V183" s="133"/>
      <c r="W183" s="133"/>
      <c r="X183" s="133"/>
    </row>
    <row r="184" spans="1:24" ht="39" customHeight="1">
      <c r="A184" s="142">
        <v>61</v>
      </c>
      <c r="B184" s="134" t="s">
        <v>457</v>
      </c>
      <c r="C184" s="149" t="s">
        <v>1025</v>
      </c>
      <c r="D184" s="145" t="s">
        <v>908</v>
      </c>
      <c r="E184" s="141" t="s">
        <v>716</v>
      </c>
      <c r="F184" s="145" t="s">
        <v>908</v>
      </c>
      <c r="G184" s="137"/>
      <c r="H184" s="135" t="s">
        <v>890</v>
      </c>
      <c r="I184" s="134" t="s">
        <v>318</v>
      </c>
      <c r="J184" s="134" t="e">
        <f>#REF!</f>
        <v>#REF!</v>
      </c>
      <c r="K184" s="134" t="e">
        <f>#REF!</f>
        <v>#REF!</v>
      </c>
      <c r="L184" s="134" t="e">
        <f>#REF!</f>
        <v>#REF!</v>
      </c>
      <c r="M184" s="134" t="e">
        <f t="shared" ref="M184" si="118">IF(OR(L184&gt;6), "Non-acceptable","Acceptable")</f>
        <v>#REF!</v>
      </c>
      <c r="N184" s="51" t="s">
        <v>37</v>
      </c>
      <c r="O184" s="48" t="s">
        <v>32</v>
      </c>
      <c r="P184" s="48" t="s">
        <v>33</v>
      </c>
      <c r="Q184" s="131" t="e">
        <f>#REF!</f>
        <v>#REF!</v>
      </c>
      <c r="R184" s="131" t="e">
        <f>#REF!</f>
        <v>#REF!</v>
      </c>
      <c r="S184" s="131" t="e">
        <f>#REF!</f>
        <v>#REF!</v>
      </c>
      <c r="T184" s="131" t="e">
        <f t="shared" ref="T184" si="119">IF(OR(S184&gt;6), "Non-acceptable","Acceptable")</f>
        <v>#REF!</v>
      </c>
      <c r="U184" s="150" t="s">
        <v>742</v>
      </c>
      <c r="V184" s="131" t="s">
        <v>724</v>
      </c>
      <c r="W184" s="131" t="s">
        <v>725</v>
      </c>
      <c r="X184" s="131" t="s">
        <v>726</v>
      </c>
    </row>
    <row r="185" spans="1:24" ht="80.25" customHeight="1">
      <c r="A185" s="141"/>
      <c r="B185" s="134"/>
      <c r="C185" s="149"/>
      <c r="D185" s="146"/>
      <c r="E185" s="141"/>
      <c r="F185" s="146"/>
      <c r="G185" s="138"/>
      <c r="H185" s="136"/>
      <c r="I185" s="134"/>
      <c r="J185" s="134"/>
      <c r="K185" s="134"/>
      <c r="L185" s="134"/>
      <c r="M185" s="134"/>
      <c r="N185" s="51" t="s">
        <v>38</v>
      </c>
      <c r="O185" s="40" t="s">
        <v>549</v>
      </c>
      <c r="P185" s="40" t="s">
        <v>319</v>
      </c>
      <c r="Q185" s="132"/>
      <c r="R185" s="132"/>
      <c r="S185" s="132"/>
      <c r="T185" s="132"/>
      <c r="U185" s="160"/>
      <c r="V185" s="132"/>
      <c r="W185" s="132"/>
      <c r="X185" s="132"/>
    </row>
    <row r="186" spans="1:24" ht="30" customHeight="1">
      <c r="A186" s="141"/>
      <c r="B186" s="134"/>
      <c r="C186" s="149"/>
      <c r="D186" s="147"/>
      <c r="E186" s="141"/>
      <c r="F186" s="147"/>
      <c r="G186" s="139"/>
      <c r="H186" s="136"/>
      <c r="I186" s="134"/>
      <c r="J186" s="134"/>
      <c r="K186" s="134"/>
      <c r="L186" s="134"/>
      <c r="M186" s="134"/>
      <c r="N186" s="51" t="s">
        <v>39</v>
      </c>
      <c r="O186" s="48" t="s">
        <v>284</v>
      </c>
      <c r="P186" s="41"/>
      <c r="Q186" s="133"/>
      <c r="R186" s="133"/>
      <c r="S186" s="133"/>
      <c r="T186" s="133"/>
      <c r="U186" s="161"/>
      <c r="V186" s="133"/>
      <c r="W186" s="133"/>
      <c r="X186" s="133"/>
    </row>
    <row r="187" spans="1:24" ht="44.25" customHeight="1">
      <c r="A187" s="142">
        <v>62</v>
      </c>
      <c r="B187" s="134" t="s">
        <v>457</v>
      </c>
      <c r="C187" s="149" t="s">
        <v>1025</v>
      </c>
      <c r="D187" s="150" t="s">
        <v>909</v>
      </c>
      <c r="E187" s="141" t="s">
        <v>716</v>
      </c>
      <c r="F187" s="150" t="s">
        <v>909</v>
      </c>
      <c r="G187" s="137"/>
      <c r="H187" s="135" t="s">
        <v>890</v>
      </c>
      <c r="I187" s="134" t="s">
        <v>318</v>
      </c>
      <c r="J187" s="134" t="e">
        <f>#REF!</f>
        <v>#REF!</v>
      </c>
      <c r="K187" s="134" t="e">
        <f>#REF!</f>
        <v>#REF!</v>
      </c>
      <c r="L187" s="134" t="e">
        <f>#REF!</f>
        <v>#REF!</v>
      </c>
      <c r="M187" s="134" t="e">
        <f t="shared" ref="M187" si="120">IF(OR(L187&gt;6), "Non-acceptable","Acceptable")</f>
        <v>#REF!</v>
      </c>
      <c r="N187" s="51" t="s">
        <v>37</v>
      </c>
      <c r="O187" s="48" t="s">
        <v>910</v>
      </c>
      <c r="P187" s="48" t="s">
        <v>911</v>
      </c>
      <c r="Q187" s="131" t="e">
        <f>#REF!</f>
        <v>#REF!</v>
      </c>
      <c r="R187" s="131" t="e">
        <f>#REF!</f>
        <v>#REF!</v>
      </c>
      <c r="S187" s="131" t="e">
        <f>#REF!</f>
        <v>#REF!</v>
      </c>
      <c r="T187" s="131" t="e">
        <f t="shared" ref="T187" si="121">IF(OR(S187&gt;6), "Non-acceptable","Acceptable")</f>
        <v>#REF!</v>
      </c>
      <c r="U187" s="150" t="s">
        <v>742</v>
      </c>
      <c r="V187" s="131" t="s">
        <v>724</v>
      </c>
      <c r="W187" s="131" t="s">
        <v>797</v>
      </c>
      <c r="X187" s="131" t="s">
        <v>726</v>
      </c>
    </row>
    <row r="188" spans="1:24" ht="65.650000000000006">
      <c r="A188" s="141"/>
      <c r="B188" s="134"/>
      <c r="C188" s="149"/>
      <c r="D188" s="151"/>
      <c r="E188" s="141"/>
      <c r="F188" s="151"/>
      <c r="G188" s="138"/>
      <c r="H188" s="136"/>
      <c r="I188" s="134"/>
      <c r="J188" s="134"/>
      <c r="K188" s="134"/>
      <c r="L188" s="134"/>
      <c r="M188" s="134"/>
      <c r="N188" s="51" t="s">
        <v>38</v>
      </c>
      <c r="O188" s="40" t="s">
        <v>912</v>
      </c>
      <c r="P188" s="40" t="s">
        <v>550</v>
      </c>
      <c r="Q188" s="132"/>
      <c r="R188" s="132"/>
      <c r="S188" s="132"/>
      <c r="T188" s="132"/>
      <c r="U188" s="160"/>
      <c r="V188" s="132"/>
      <c r="W188" s="132"/>
      <c r="X188" s="132"/>
    </row>
    <row r="189" spans="1:24" ht="32.25" customHeight="1">
      <c r="A189" s="141"/>
      <c r="B189" s="134"/>
      <c r="C189" s="149"/>
      <c r="D189" s="152"/>
      <c r="E189" s="141"/>
      <c r="F189" s="152"/>
      <c r="G189" s="139"/>
      <c r="H189" s="136"/>
      <c r="I189" s="134"/>
      <c r="J189" s="134"/>
      <c r="K189" s="134"/>
      <c r="L189" s="134"/>
      <c r="M189" s="134"/>
      <c r="N189" s="51" t="s">
        <v>39</v>
      </c>
      <c r="O189" s="48" t="s">
        <v>284</v>
      </c>
      <c r="P189" s="41"/>
      <c r="Q189" s="133"/>
      <c r="R189" s="133"/>
      <c r="S189" s="133"/>
      <c r="T189" s="133"/>
      <c r="U189" s="161"/>
      <c r="V189" s="133"/>
      <c r="W189" s="133"/>
      <c r="X189" s="133"/>
    </row>
    <row r="190" spans="1:24" ht="46.5" customHeight="1">
      <c r="A190" s="142">
        <v>63</v>
      </c>
      <c r="B190" s="131" t="s">
        <v>458</v>
      </c>
      <c r="C190" s="143" t="s">
        <v>1030</v>
      </c>
      <c r="D190" s="136" t="s">
        <v>913</v>
      </c>
      <c r="E190" s="141" t="s">
        <v>716</v>
      </c>
      <c r="F190" s="136" t="s">
        <v>913</v>
      </c>
      <c r="G190" s="137"/>
      <c r="H190" s="136" t="s">
        <v>646</v>
      </c>
      <c r="I190" s="134" t="s">
        <v>914</v>
      </c>
      <c r="J190" s="134" t="e">
        <f>#REF!</f>
        <v>#REF!</v>
      </c>
      <c r="K190" s="134" t="e">
        <f>#REF!</f>
        <v>#REF!</v>
      </c>
      <c r="L190" s="134" t="e">
        <f>#REF!</f>
        <v>#REF!</v>
      </c>
      <c r="M190" s="134" t="e">
        <f t="shared" ref="M190" si="122">IF(OR(L190&gt;6), "Non-acceptable","Acceptable")</f>
        <v>#REF!</v>
      </c>
      <c r="N190" s="51" t="s">
        <v>37</v>
      </c>
      <c r="O190" s="40" t="s">
        <v>336</v>
      </c>
      <c r="P190" s="40" t="s">
        <v>337</v>
      </c>
      <c r="Q190" s="131" t="e">
        <f>#REF!</f>
        <v>#REF!</v>
      </c>
      <c r="R190" s="131" t="e">
        <f>#REF!</f>
        <v>#REF!</v>
      </c>
      <c r="S190" s="131" t="e">
        <f>#REF!</f>
        <v>#REF!</v>
      </c>
      <c r="T190" s="131" t="e">
        <f t="shared" ref="T190" si="123">IF(OR(S190&gt;6), "Non-acceptable","Acceptable")</f>
        <v>#REF!</v>
      </c>
      <c r="U190" s="150" t="s">
        <v>742</v>
      </c>
      <c r="V190" s="131" t="s">
        <v>724</v>
      </c>
      <c r="W190" s="131" t="s">
        <v>725</v>
      </c>
      <c r="X190" s="131" t="s">
        <v>726</v>
      </c>
    </row>
    <row r="191" spans="1:24" ht="131.25">
      <c r="A191" s="141"/>
      <c r="B191" s="132"/>
      <c r="C191" s="141"/>
      <c r="D191" s="136"/>
      <c r="E191" s="141"/>
      <c r="F191" s="136"/>
      <c r="G191" s="138"/>
      <c r="H191" s="136"/>
      <c r="I191" s="134"/>
      <c r="J191" s="134"/>
      <c r="K191" s="134"/>
      <c r="L191" s="134"/>
      <c r="M191" s="134"/>
      <c r="N191" s="51" t="s">
        <v>38</v>
      </c>
      <c r="O191" s="40" t="s">
        <v>338</v>
      </c>
      <c r="P191" s="40" t="s">
        <v>339</v>
      </c>
      <c r="Q191" s="132"/>
      <c r="R191" s="132"/>
      <c r="S191" s="132"/>
      <c r="T191" s="132"/>
      <c r="U191" s="160"/>
      <c r="V191" s="132"/>
      <c r="W191" s="132"/>
      <c r="X191" s="132"/>
    </row>
    <row r="192" spans="1:24" ht="33.75" customHeight="1">
      <c r="A192" s="141"/>
      <c r="B192" s="133"/>
      <c r="C192" s="141"/>
      <c r="D192" s="136"/>
      <c r="E192" s="141"/>
      <c r="F192" s="136"/>
      <c r="G192" s="139"/>
      <c r="H192" s="136"/>
      <c r="I192" s="134"/>
      <c r="J192" s="134"/>
      <c r="K192" s="134"/>
      <c r="L192" s="134"/>
      <c r="M192" s="134"/>
      <c r="N192" s="51" t="s">
        <v>39</v>
      </c>
      <c r="O192" s="48" t="s">
        <v>551</v>
      </c>
      <c r="P192" s="41"/>
      <c r="Q192" s="133"/>
      <c r="R192" s="133"/>
      <c r="S192" s="133"/>
      <c r="T192" s="133"/>
      <c r="U192" s="161"/>
      <c r="V192" s="133"/>
      <c r="W192" s="133"/>
      <c r="X192" s="133"/>
    </row>
    <row r="193" spans="1:24" ht="40.5" customHeight="1">
      <c r="A193" s="142">
        <v>64</v>
      </c>
      <c r="B193" s="131" t="s">
        <v>458</v>
      </c>
      <c r="C193" s="143" t="s">
        <v>1030</v>
      </c>
      <c r="D193" s="135" t="s">
        <v>915</v>
      </c>
      <c r="E193" s="141" t="s">
        <v>716</v>
      </c>
      <c r="F193" s="135" t="s">
        <v>915</v>
      </c>
      <c r="G193" s="137"/>
      <c r="H193" s="136" t="s">
        <v>646</v>
      </c>
      <c r="I193" s="134" t="s">
        <v>914</v>
      </c>
      <c r="J193" s="134" t="e">
        <f>#REF!</f>
        <v>#REF!</v>
      </c>
      <c r="K193" s="134" t="e">
        <f>#REF!</f>
        <v>#REF!</v>
      </c>
      <c r="L193" s="134" t="e">
        <f>#REF!</f>
        <v>#REF!</v>
      </c>
      <c r="M193" s="134" t="e">
        <f t="shared" ref="M193" si="124">IF(OR(L193&gt;6), "Non-acceptable","Acceptable")</f>
        <v>#REF!</v>
      </c>
      <c r="N193" s="51" t="s">
        <v>37</v>
      </c>
      <c r="O193" s="40" t="s">
        <v>276</v>
      </c>
      <c r="P193" s="40" t="s">
        <v>340</v>
      </c>
      <c r="Q193" s="131" t="e">
        <f>#REF!</f>
        <v>#REF!</v>
      </c>
      <c r="R193" s="131" t="e">
        <f>#REF!</f>
        <v>#REF!</v>
      </c>
      <c r="S193" s="131" t="e">
        <f>#REF!</f>
        <v>#REF!</v>
      </c>
      <c r="T193" s="131" t="e">
        <f t="shared" ref="T193" si="125">IF(OR(S193&gt;6), "Non-acceptable","Acceptable")</f>
        <v>#REF!</v>
      </c>
      <c r="U193" s="159" t="s">
        <v>753</v>
      </c>
      <c r="V193" s="131" t="s">
        <v>793</v>
      </c>
      <c r="W193" s="131" t="s">
        <v>725</v>
      </c>
      <c r="X193" s="131" t="s">
        <v>726</v>
      </c>
    </row>
    <row r="194" spans="1:24" ht="26.25">
      <c r="A194" s="141"/>
      <c r="B194" s="132"/>
      <c r="C194" s="141"/>
      <c r="D194" s="136"/>
      <c r="E194" s="141"/>
      <c r="F194" s="136"/>
      <c r="G194" s="138"/>
      <c r="H194" s="136"/>
      <c r="I194" s="134"/>
      <c r="J194" s="134"/>
      <c r="K194" s="134"/>
      <c r="L194" s="134"/>
      <c r="M194" s="134"/>
      <c r="N194" s="51" t="s">
        <v>38</v>
      </c>
      <c r="O194" s="48" t="s">
        <v>552</v>
      </c>
      <c r="P194" s="48" t="s">
        <v>516</v>
      </c>
      <c r="Q194" s="132"/>
      <c r="R194" s="132"/>
      <c r="S194" s="132"/>
      <c r="T194" s="132"/>
      <c r="U194" s="160"/>
      <c r="V194" s="132"/>
      <c r="W194" s="132"/>
      <c r="X194" s="132"/>
    </row>
    <row r="195" spans="1:24" ht="157.5">
      <c r="A195" s="141"/>
      <c r="B195" s="133"/>
      <c r="C195" s="141"/>
      <c r="D195" s="136"/>
      <c r="E195" s="141"/>
      <c r="F195" s="136"/>
      <c r="G195" s="139"/>
      <c r="H195" s="136"/>
      <c r="I195" s="134"/>
      <c r="J195" s="134"/>
      <c r="K195" s="134"/>
      <c r="L195" s="134"/>
      <c r="M195" s="134"/>
      <c r="N195" s="51" t="s">
        <v>39</v>
      </c>
      <c r="O195" s="40" t="s">
        <v>553</v>
      </c>
      <c r="P195" s="40" t="s">
        <v>916</v>
      </c>
      <c r="Q195" s="133"/>
      <c r="R195" s="133"/>
      <c r="S195" s="133"/>
      <c r="T195" s="133"/>
      <c r="U195" s="161"/>
      <c r="V195" s="133"/>
      <c r="W195" s="133"/>
      <c r="X195" s="133"/>
    </row>
    <row r="196" spans="1:24" ht="39.75" customHeight="1">
      <c r="A196" s="142">
        <v>65</v>
      </c>
      <c r="B196" s="134" t="s">
        <v>459</v>
      </c>
      <c r="C196" s="148" t="s">
        <v>854</v>
      </c>
      <c r="D196" s="135" t="s">
        <v>648</v>
      </c>
      <c r="E196" s="141" t="s">
        <v>716</v>
      </c>
      <c r="F196" s="135" t="s">
        <v>648</v>
      </c>
      <c r="G196" s="137"/>
      <c r="H196" s="136" t="s">
        <v>649</v>
      </c>
      <c r="I196" s="134" t="s">
        <v>358</v>
      </c>
      <c r="J196" s="134" t="e">
        <f>#REF!</f>
        <v>#REF!</v>
      </c>
      <c r="K196" s="134" t="e">
        <f>#REF!</f>
        <v>#REF!</v>
      </c>
      <c r="L196" s="134" t="e">
        <f>#REF!</f>
        <v>#REF!</v>
      </c>
      <c r="M196" s="134" t="e">
        <f t="shared" ref="M196" si="126">IF(OR(L196&gt;6), "Non-acceptable","Acceptable")</f>
        <v>#REF!</v>
      </c>
      <c r="N196" s="51" t="s">
        <v>37</v>
      </c>
      <c r="O196" s="48" t="s">
        <v>275</v>
      </c>
      <c r="P196" s="42"/>
      <c r="Q196" s="131" t="e">
        <f>#REF!</f>
        <v>#REF!</v>
      </c>
      <c r="R196" s="131" t="e">
        <f>#REF!</f>
        <v>#REF!</v>
      </c>
      <c r="S196" s="131" t="e">
        <f>#REF!</f>
        <v>#REF!</v>
      </c>
      <c r="T196" s="131" t="e">
        <f t="shared" ref="T196" si="127">IF(OR(S196&gt;6), "Non-acceptable","Acceptable")</f>
        <v>#REF!</v>
      </c>
      <c r="U196" s="150" t="s">
        <v>742</v>
      </c>
      <c r="V196" s="131" t="s">
        <v>724</v>
      </c>
      <c r="W196" s="131" t="s">
        <v>725</v>
      </c>
      <c r="X196" s="131" t="s">
        <v>726</v>
      </c>
    </row>
    <row r="197" spans="1:24" ht="98.25" customHeight="1">
      <c r="A197" s="141"/>
      <c r="B197" s="134"/>
      <c r="C197" s="132"/>
      <c r="D197" s="136"/>
      <c r="E197" s="141"/>
      <c r="F197" s="136"/>
      <c r="G197" s="138"/>
      <c r="H197" s="136"/>
      <c r="I197" s="134"/>
      <c r="J197" s="134"/>
      <c r="K197" s="134"/>
      <c r="L197" s="134"/>
      <c r="M197" s="134"/>
      <c r="N197" s="51" t="s">
        <v>38</v>
      </c>
      <c r="O197" s="40" t="s">
        <v>917</v>
      </c>
      <c r="P197" s="40" t="s">
        <v>918</v>
      </c>
      <c r="Q197" s="132"/>
      <c r="R197" s="132"/>
      <c r="S197" s="132"/>
      <c r="T197" s="132"/>
      <c r="U197" s="160"/>
      <c r="V197" s="132"/>
      <c r="W197" s="132"/>
      <c r="X197" s="132"/>
    </row>
    <row r="198" spans="1:24" ht="33.75" customHeight="1">
      <c r="A198" s="141"/>
      <c r="B198" s="134"/>
      <c r="C198" s="133"/>
      <c r="D198" s="136"/>
      <c r="E198" s="141"/>
      <c r="F198" s="136"/>
      <c r="G198" s="139"/>
      <c r="H198" s="136"/>
      <c r="I198" s="134"/>
      <c r="J198" s="134"/>
      <c r="K198" s="134"/>
      <c r="L198" s="134"/>
      <c r="M198" s="134"/>
      <c r="N198" s="51" t="s">
        <v>39</v>
      </c>
      <c r="O198" s="48" t="s">
        <v>284</v>
      </c>
      <c r="P198" s="43"/>
      <c r="Q198" s="133"/>
      <c r="R198" s="133"/>
      <c r="S198" s="133"/>
      <c r="T198" s="133"/>
      <c r="U198" s="161"/>
      <c r="V198" s="133"/>
      <c r="W198" s="133"/>
      <c r="X198" s="133"/>
    </row>
    <row r="199" spans="1:24" ht="38.25" customHeight="1">
      <c r="A199" s="142">
        <v>66</v>
      </c>
      <c r="B199" s="134" t="s">
        <v>459</v>
      </c>
      <c r="C199" s="148" t="s">
        <v>854</v>
      </c>
      <c r="D199" s="136" t="s">
        <v>919</v>
      </c>
      <c r="E199" s="141" t="s">
        <v>716</v>
      </c>
      <c r="F199" s="136" t="s">
        <v>919</v>
      </c>
      <c r="G199" s="137"/>
      <c r="H199" s="136" t="s">
        <v>649</v>
      </c>
      <c r="I199" s="134" t="s">
        <v>358</v>
      </c>
      <c r="J199" s="134" t="e">
        <f>#REF!</f>
        <v>#REF!</v>
      </c>
      <c r="K199" s="134" t="e">
        <f>#REF!</f>
        <v>#REF!</v>
      </c>
      <c r="L199" s="134" t="e">
        <f>#REF!</f>
        <v>#REF!</v>
      </c>
      <c r="M199" s="134" t="e">
        <f t="shared" ref="M199" si="128">IF(OR(L199&gt;6), "Non-acceptable","Acceptable")</f>
        <v>#REF!</v>
      </c>
      <c r="N199" s="51" t="s">
        <v>37</v>
      </c>
      <c r="O199" s="48" t="s">
        <v>559</v>
      </c>
      <c r="P199" s="42"/>
      <c r="Q199" s="131" t="e">
        <f>#REF!</f>
        <v>#REF!</v>
      </c>
      <c r="R199" s="131" t="e">
        <f>#REF!</f>
        <v>#REF!</v>
      </c>
      <c r="S199" s="131" t="e">
        <f>#REF!</f>
        <v>#REF!</v>
      </c>
      <c r="T199" s="131" t="e">
        <f t="shared" ref="T199" si="129">IF(OR(S199&gt;6), "Non-acceptable","Acceptable")</f>
        <v>#REF!</v>
      </c>
      <c r="U199" s="150" t="s">
        <v>742</v>
      </c>
      <c r="V199" s="131" t="s">
        <v>724</v>
      </c>
      <c r="W199" s="131" t="s">
        <v>725</v>
      </c>
      <c r="X199" s="131" t="s">
        <v>726</v>
      </c>
    </row>
    <row r="200" spans="1:24" ht="121.5" customHeight="1">
      <c r="A200" s="141"/>
      <c r="B200" s="134"/>
      <c r="C200" s="132"/>
      <c r="D200" s="136"/>
      <c r="E200" s="141"/>
      <c r="F200" s="136"/>
      <c r="G200" s="138"/>
      <c r="H200" s="136"/>
      <c r="I200" s="134"/>
      <c r="J200" s="134"/>
      <c r="K200" s="134"/>
      <c r="L200" s="134"/>
      <c r="M200" s="134"/>
      <c r="N200" s="51" t="s">
        <v>38</v>
      </c>
      <c r="O200" s="40" t="s">
        <v>557</v>
      </c>
      <c r="P200" s="47" t="s">
        <v>880</v>
      </c>
      <c r="Q200" s="132"/>
      <c r="R200" s="132"/>
      <c r="S200" s="132"/>
      <c r="T200" s="132"/>
      <c r="U200" s="160"/>
      <c r="V200" s="132"/>
      <c r="W200" s="132"/>
      <c r="X200" s="132"/>
    </row>
    <row r="201" spans="1:24" ht="32.25" customHeight="1">
      <c r="A201" s="141"/>
      <c r="B201" s="134"/>
      <c r="C201" s="133"/>
      <c r="D201" s="136"/>
      <c r="E201" s="141"/>
      <c r="F201" s="136"/>
      <c r="G201" s="139"/>
      <c r="H201" s="136"/>
      <c r="I201" s="134"/>
      <c r="J201" s="134"/>
      <c r="K201" s="134"/>
      <c r="L201" s="134"/>
      <c r="M201" s="134"/>
      <c r="N201" s="51" t="s">
        <v>39</v>
      </c>
      <c r="O201" s="48" t="s">
        <v>284</v>
      </c>
      <c r="P201" s="43"/>
      <c r="Q201" s="133"/>
      <c r="R201" s="133"/>
      <c r="S201" s="133"/>
      <c r="T201" s="133"/>
      <c r="U201" s="161"/>
      <c r="V201" s="133"/>
      <c r="W201" s="133"/>
      <c r="X201" s="133"/>
    </row>
    <row r="202" spans="1:24" ht="42.75" customHeight="1">
      <c r="A202" s="142">
        <v>67</v>
      </c>
      <c r="B202" s="134" t="s">
        <v>459</v>
      </c>
      <c r="C202" s="148" t="s">
        <v>854</v>
      </c>
      <c r="D202" s="135" t="s">
        <v>920</v>
      </c>
      <c r="E202" s="141" t="s">
        <v>716</v>
      </c>
      <c r="F202" s="135" t="s">
        <v>920</v>
      </c>
      <c r="G202" s="137"/>
      <c r="H202" s="136" t="s">
        <v>649</v>
      </c>
      <c r="I202" s="134" t="s">
        <v>358</v>
      </c>
      <c r="J202" s="134" t="e">
        <f>#REF!</f>
        <v>#REF!</v>
      </c>
      <c r="K202" s="134" t="e">
        <f>#REF!</f>
        <v>#REF!</v>
      </c>
      <c r="L202" s="134" t="e">
        <f>#REF!</f>
        <v>#REF!</v>
      </c>
      <c r="M202" s="134" t="e">
        <f t="shared" ref="M202" si="130">IF(OR(L202&gt;6), "Non-acceptable","Acceptable")</f>
        <v>#REF!</v>
      </c>
      <c r="N202" s="51" t="s">
        <v>37</v>
      </c>
      <c r="O202" s="48" t="s">
        <v>275</v>
      </c>
      <c r="P202" s="42"/>
      <c r="Q202" s="131" t="e">
        <f>#REF!</f>
        <v>#REF!</v>
      </c>
      <c r="R202" s="131" t="e">
        <f>#REF!</f>
        <v>#REF!</v>
      </c>
      <c r="S202" s="131" t="e">
        <f>#REF!</f>
        <v>#REF!</v>
      </c>
      <c r="T202" s="131" t="e">
        <f t="shared" ref="T202" si="131">IF(OR(S202&gt;6), "Non-acceptable","Acceptable")</f>
        <v>#REF!</v>
      </c>
      <c r="U202" s="159" t="s">
        <v>754</v>
      </c>
      <c r="V202" s="131" t="s">
        <v>724</v>
      </c>
      <c r="W202" s="131" t="s">
        <v>725</v>
      </c>
      <c r="X202" s="131" t="s">
        <v>726</v>
      </c>
    </row>
    <row r="203" spans="1:24" ht="72" customHeight="1">
      <c r="A203" s="141"/>
      <c r="B203" s="134"/>
      <c r="C203" s="132"/>
      <c r="D203" s="136"/>
      <c r="E203" s="141"/>
      <c r="F203" s="136"/>
      <c r="G203" s="138"/>
      <c r="H203" s="136"/>
      <c r="I203" s="134"/>
      <c r="J203" s="134"/>
      <c r="K203" s="134"/>
      <c r="L203" s="134"/>
      <c r="M203" s="134"/>
      <c r="N203" s="51" t="s">
        <v>38</v>
      </c>
      <c r="O203" s="48" t="s">
        <v>175</v>
      </c>
      <c r="P203" s="53" t="s">
        <v>176</v>
      </c>
      <c r="Q203" s="132"/>
      <c r="R203" s="132"/>
      <c r="S203" s="132"/>
      <c r="T203" s="132"/>
      <c r="U203" s="160"/>
      <c r="V203" s="132"/>
      <c r="W203" s="132"/>
      <c r="X203" s="132"/>
    </row>
    <row r="204" spans="1:24" ht="122.25" customHeight="1">
      <c r="A204" s="141"/>
      <c r="B204" s="134"/>
      <c r="C204" s="133"/>
      <c r="D204" s="136"/>
      <c r="E204" s="141"/>
      <c r="F204" s="136"/>
      <c r="G204" s="139"/>
      <c r="H204" s="136"/>
      <c r="I204" s="134"/>
      <c r="J204" s="134"/>
      <c r="K204" s="134"/>
      <c r="L204" s="134"/>
      <c r="M204" s="134"/>
      <c r="N204" s="51" t="s">
        <v>39</v>
      </c>
      <c r="O204" s="40" t="s">
        <v>855</v>
      </c>
      <c r="P204" s="40" t="s">
        <v>856</v>
      </c>
      <c r="Q204" s="133"/>
      <c r="R204" s="133"/>
      <c r="S204" s="133"/>
      <c r="T204" s="133"/>
      <c r="U204" s="161"/>
      <c r="V204" s="133"/>
      <c r="W204" s="133"/>
      <c r="X204" s="133"/>
    </row>
    <row r="205" spans="1:24" ht="38.25" customHeight="1">
      <c r="A205" s="142">
        <v>68</v>
      </c>
      <c r="B205" s="134" t="s">
        <v>460</v>
      </c>
      <c r="C205" s="148" t="s">
        <v>854</v>
      </c>
      <c r="D205" s="135" t="s">
        <v>921</v>
      </c>
      <c r="E205" s="141" t="s">
        <v>716</v>
      </c>
      <c r="F205" s="135" t="s">
        <v>921</v>
      </c>
      <c r="G205" s="137"/>
      <c r="H205" s="136" t="s">
        <v>649</v>
      </c>
      <c r="I205" s="134" t="s">
        <v>360</v>
      </c>
      <c r="J205" s="134" t="e">
        <f>#REF!</f>
        <v>#REF!</v>
      </c>
      <c r="K205" s="134" t="e">
        <f>#REF!</f>
        <v>#REF!</v>
      </c>
      <c r="L205" s="134" t="e">
        <f>#REF!</f>
        <v>#REF!</v>
      </c>
      <c r="M205" s="134" t="e">
        <f t="shared" ref="M205" si="132">IF(OR(L205&gt;6), "Non-acceptable","Acceptable")</f>
        <v>#REF!</v>
      </c>
      <c r="N205" s="51" t="s">
        <v>37</v>
      </c>
      <c r="O205" s="48" t="s">
        <v>275</v>
      </c>
      <c r="P205" s="42"/>
      <c r="Q205" s="131" t="e">
        <f>#REF!</f>
        <v>#REF!</v>
      </c>
      <c r="R205" s="131" t="e">
        <f>#REF!</f>
        <v>#REF!</v>
      </c>
      <c r="S205" s="131" t="e">
        <f>#REF!</f>
        <v>#REF!</v>
      </c>
      <c r="T205" s="131" t="e">
        <f t="shared" ref="T205" si="133">IF(OR(S205&gt;6), "Non-acceptable","Acceptable")</f>
        <v>#REF!</v>
      </c>
      <c r="U205" s="159" t="s">
        <v>754</v>
      </c>
      <c r="V205" s="131" t="s">
        <v>724</v>
      </c>
      <c r="W205" s="131" t="s">
        <v>725</v>
      </c>
      <c r="X205" s="131" t="s">
        <v>726</v>
      </c>
    </row>
    <row r="206" spans="1:24" ht="78.75">
      <c r="A206" s="141"/>
      <c r="B206" s="134"/>
      <c r="C206" s="132"/>
      <c r="D206" s="136"/>
      <c r="E206" s="141"/>
      <c r="F206" s="136"/>
      <c r="G206" s="138"/>
      <c r="H206" s="136"/>
      <c r="I206" s="134"/>
      <c r="J206" s="134"/>
      <c r="K206" s="134"/>
      <c r="L206" s="134"/>
      <c r="M206" s="134"/>
      <c r="N206" s="51" t="s">
        <v>38</v>
      </c>
      <c r="O206" s="48" t="s">
        <v>554</v>
      </c>
      <c r="P206" s="53" t="s">
        <v>361</v>
      </c>
      <c r="Q206" s="132"/>
      <c r="R206" s="132"/>
      <c r="S206" s="132"/>
      <c r="T206" s="132"/>
      <c r="U206" s="160"/>
      <c r="V206" s="132"/>
      <c r="W206" s="132"/>
      <c r="X206" s="132"/>
    </row>
    <row r="207" spans="1:24" ht="118.5" customHeight="1">
      <c r="A207" s="141"/>
      <c r="B207" s="134"/>
      <c r="C207" s="133"/>
      <c r="D207" s="136"/>
      <c r="E207" s="141"/>
      <c r="F207" s="136"/>
      <c r="G207" s="139"/>
      <c r="H207" s="136"/>
      <c r="I207" s="134"/>
      <c r="J207" s="134"/>
      <c r="K207" s="134"/>
      <c r="L207" s="134"/>
      <c r="M207" s="134"/>
      <c r="N207" s="51" t="s">
        <v>39</v>
      </c>
      <c r="O207" s="40" t="s">
        <v>855</v>
      </c>
      <c r="P207" s="40" t="s">
        <v>856</v>
      </c>
      <c r="Q207" s="133"/>
      <c r="R207" s="133"/>
      <c r="S207" s="133"/>
      <c r="T207" s="133"/>
      <c r="U207" s="161"/>
      <c r="V207" s="133"/>
      <c r="W207" s="133"/>
      <c r="X207" s="133"/>
    </row>
    <row r="208" spans="1:24" ht="41.25" customHeight="1">
      <c r="A208" s="142">
        <v>69</v>
      </c>
      <c r="B208" s="134" t="s">
        <v>459</v>
      </c>
      <c r="C208" s="148" t="s">
        <v>1018</v>
      </c>
      <c r="D208" s="135" t="s">
        <v>650</v>
      </c>
      <c r="E208" s="141" t="s">
        <v>716</v>
      </c>
      <c r="F208" s="135" t="s">
        <v>650</v>
      </c>
      <c r="G208" s="137"/>
      <c r="H208" s="135" t="s">
        <v>651</v>
      </c>
      <c r="I208" s="134" t="s">
        <v>83</v>
      </c>
      <c r="J208" s="134" t="e">
        <f>#REF!</f>
        <v>#REF!</v>
      </c>
      <c r="K208" s="134" t="e">
        <f>#REF!</f>
        <v>#REF!</v>
      </c>
      <c r="L208" s="134" t="e">
        <f>#REF!</f>
        <v>#REF!</v>
      </c>
      <c r="M208" s="134" t="e">
        <f t="shared" ref="M208" si="134">IF(OR(L208&gt;6), "Non-acceptable","Acceptable")</f>
        <v>#REF!</v>
      </c>
      <c r="N208" s="51" t="s">
        <v>37</v>
      </c>
      <c r="O208" s="48" t="s">
        <v>370</v>
      </c>
      <c r="P208" s="42"/>
      <c r="Q208" s="131" t="e">
        <f>#REF!</f>
        <v>#REF!</v>
      </c>
      <c r="R208" s="131" t="e">
        <f>#REF!</f>
        <v>#REF!</v>
      </c>
      <c r="S208" s="131" t="e">
        <f>#REF!</f>
        <v>#REF!</v>
      </c>
      <c r="T208" s="131" t="e">
        <f t="shared" ref="T208" si="135">IF(OR(S208&gt;6), "Non-acceptable","Acceptable")</f>
        <v>#REF!</v>
      </c>
      <c r="U208" s="159" t="s">
        <v>755</v>
      </c>
      <c r="V208" s="131" t="s">
        <v>724</v>
      </c>
      <c r="W208" s="131" t="s">
        <v>725</v>
      </c>
      <c r="X208" s="131" t="s">
        <v>726</v>
      </c>
    </row>
    <row r="209" spans="1:24" ht="66.75" customHeight="1">
      <c r="A209" s="141"/>
      <c r="B209" s="134"/>
      <c r="C209" s="132"/>
      <c r="D209" s="136"/>
      <c r="E209" s="141"/>
      <c r="F209" s="136"/>
      <c r="G209" s="138"/>
      <c r="H209" s="136"/>
      <c r="I209" s="134"/>
      <c r="J209" s="134"/>
      <c r="K209" s="134"/>
      <c r="L209" s="134"/>
      <c r="M209" s="134"/>
      <c r="N209" s="51" t="s">
        <v>38</v>
      </c>
      <c r="O209" s="40" t="s">
        <v>371</v>
      </c>
      <c r="P209" s="40" t="s">
        <v>372</v>
      </c>
      <c r="Q209" s="132"/>
      <c r="R209" s="132"/>
      <c r="S209" s="132"/>
      <c r="T209" s="132"/>
      <c r="U209" s="160"/>
      <c r="V209" s="132"/>
      <c r="W209" s="132"/>
      <c r="X209" s="132"/>
    </row>
    <row r="210" spans="1:24" ht="63.75" customHeight="1">
      <c r="A210" s="141"/>
      <c r="B210" s="134"/>
      <c r="C210" s="133"/>
      <c r="D210" s="136"/>
      <c r="E210" s="141"/>
      <c r="F210" s="136"/>
      <c r="G210" s="139"/>
      <c r="H210" s="136"/>
      <c r="I210" s="134"/>
      <c r="J210" s="134"/>
      <c r="K210" s="134"/>
      <c r="L210" s="134"/>
      <c r="M210" s="134"/>
      <c r="N210" s="51" t="s">
        <v>39</v>
      </c>
      <c r="O210" s="40" t="s">
        <v>373</v>
      </c>
      <c r="P210" s="40" t="s">
        <v>374</v>
      </c>
      <c r="Q210" s="133"/>
      <c r="R210" s="133"/>
      <c r="S210" s="133"/>
      <c r="T210" s="133"/>
      <c r="U210" s="161"/>
      <c r="V210" s="133"/>
      <c r="W210" s="133"/>
      <c r="X210" s="133"/>
    </row>
    <row r="211" spans="1:24" ht="33.75" customHeight="1">
      <c r="A211" s="142">
        <v>70</v>
      </c>
      <c r="B211" s="134" t="s">
        <v>459</v>
      </c>
      <c r="C211" s="148" t="s">
        <v>854</v>
      </c>
      <c r="D211" s="150" t="s">
        <v>922</v>
      </c>
      <c r="E211" s="141" t="s">
        <v>716</v>
      </c>
      <c r="F211" s="150" t="s">
        <v>922</v>
      </c>
      <c r="G211" s="137"/>
      <c r="H211" s="136" t="s">
        <v>649</v>
      </c>
      <c r="I211" s="134" t="s">
        <v>408</v>
      </c>
      <c r="J211" s="134" t="e">
        <f>#REF!</f>
        <v>#REF!</v>
      </c>
      <c r="K211" s="134" t="e">
        <f>#REF!</f>
        <v>#REF!</v>
      </c>
      <c r="L211" s="134" t="e">
        <f>#REF!</f>
        <v>#REF!</v>
      </c>
      <c r="M211" s="134" t="e">
        <f t="shared" ref="M211" si="136">IF(OR(L211&gt;6), "Non-acceptable","Acceptable")</f>
        <v>#REF!</v>
      </c>
      <c r="N211" s="51" t="s">
        <v>37</v>
      </c>
      <c r="O211" s="48" t="s">
        <v>28</v>
      </c>
      <c r="P211" s="48" t="s">
        <v>29</v>
      </c>
      <c r="Q211" s="131" t="e">
        <f>#REF!</f>
        <v>#REF!</v>
      </c>
      <c r="R211" s="131" t="e">
        <f>#REF!</f>
        <v>#REF!</v>
      </c>
      <c r="S211" s="131" t="e">
        <f>#REF!</f>
        <v>#REF!</v>
      </c>
      <c r="T211" s="131" t="e">
        <f t="shared" ref="T211" si="137">IF(OR(S211&gt;6), "Non-acceptable","Acceptable")</f>
        <v>#REF!</v>
      </c>
      <c r="U211" s="159" t="s">
        <v>756</v>
      </c>
      <c r="V211" s="131" t="s">
        <v>724</v>
      </c>
      <c r="W211" s="131" t="s">
        <v>725</v>
      </c>
      <c r="X211" s="131" t="s">
        <v>726</v>
      </c>
    </row>
    <row r="212" spans="1:24" ht="168" customHeight="1">
      <c r="A212" s="141"/>
      <c r="B212" s="134"/>
      <c r="C212" s="132"/>
      <c r="D212" s="151"/>
      <c r="E212" s="141"/>
      <c r="F212" s="151"/>
      <c r="G212" s="138"/>
      <c r="H212" s="136"/>
      <c r="I212" s="134"/>
      <c r="J212" s="134"/>
      <c r="K212" s="134"/>
      <c r="L212" s="134"/>
      <c r="M212" s="134"/>
      <c r="N212" s="51" t="s">
        <v>38</v>
      </c>
      <c r="O212" s="40" t="s">
        <v>923</v>
      </c>
      <c r="P212" s="40" t="s">
        <v>924</v>
      </c>
      <c r="Q212" s="132"/>
      <c r="R212" s="132"/>
      <c r="S212" s="132"/>
      <c r="T212" s="132"/>
      <c r="U212" s="160"/>
      <c r="V212" s="132"/>
      <c r="W212" s="132"/>
      <c r="X212" s="132"/>
    </row>
    <row r="213" spans="1:24" ht="132.75" customHeight="1">
      <c r="A213" s="141"/>
      <c r="B213" s="134"/>
      <c r="C213" s="133"/>
      <c r="D213" s="152"/>
      <c r="E213" s="141"/>
      <c r="F213" s="152"/>
      <c r="G213" s="139"/>
      <c r="H213" s="136"/>
      <c r="I213" s="134"/>
      <c r="J213" s="134"/>
      <c r="K213" s="134"/>
      <c r="L213" s="134"/>
      <c r="M213" s="134"/>
      <c r="N213" s="51" t="s">
        <v>39</v>
      </c>
      <c r="O213" s="40" t="s">
        <v>925</v>
      </c>
      <c r="P213" s="40" t="s">
        <v>555</v>
      </c>
      <c r="Q213" s="133"/>
      <c r="R213" s="133"/>
      <c r="S213" s="133"/>
      <c r="T213" s="133"/>
      <c r="U213" s="161"/>
      <c r="V213" s="133"/>
      <c r="W213" s="133"/>
      <c r="X213" s="133"/>
    </row>
    <row r="214" spans="1:24" ht="39" customHeight="1">
      <c r="A214" s="142">
        <v>71</v>
      </c>
      <c r="B214" s="134" t="s">
        <v>448</v>
      </c>
      <c r="C214" s="148" t="s">
        <v>854</v>
      </c>
      <c r="D214" s="135" t="s">
        <v>652</v>
      </c>
      <c r="E214" s="141" t="s">
        <v>716</v>
      </c>
      <c r="F214" s="135" t="s">
        <v>652</v>
      </c>
      <c r="G214" s="137"/>
      <c r="H214" s="145" t="s">
        <v>627</v>
      </c>
      <c r="I214" s="134" t="s">
        <v>359</v>
      </c>
      <c r="J214" s="134" t="e">
        <f>#REF!</f>
        <v>#REF!</v>
      </c>
      <c r="K214" s="134" t="e">
        <f>#REF!</f>
        <v>#REF!</v>
      </c>
      <c r="L214" s="134" t="e">
        <f>#REF!</f>
        <v>#REF!</v>
      </c>
      <c r="M214" s="134" t="e">
        <f t="shared" ref="M214" si="138">IF(OR(L214&gt;6), "Non-acceptable","Acceptable")</f>
        <v>#REF!</v>
      </c>
      <c r="N214" s="51" t="s">
        <v>37</v>
      </c>
      <c r="O214" s="48" t="s">
        <v>275</v>
      </c>
      <c r="P214" s="42"/>
      <c r="Q214" s="131" t="e">
        <f>#REF!</f>
        <v>#REF!</v>
      </c>
      <c r="R214" s="131" t="e">
        <f>#REF!</f>
        <v>#REF!</v>
      </c>
      <c r="S214" s="131" t="e">
        <f>#REF!</f>
        <v>#REF!</v>
      </c>
      <c r="T214" s="131" t="e">
        <f t="shared" ref="T214" si="139">IF(OR(S214&gt;6), "Non-acceptable","Acceptable")</f>
        <v>#REF!</v>
      </c>
      <c r="U214" s="150" t="s">
        <v>742</v>
      </c>
      <c r="V214" s="131" t="s">
        <v>724</v>
      </c>
      <c r="W214" s="131" t="s">
        <v>725</v>
      </c>
      <c r="X214" s="131" t="s">
        <v>726</v>
      </c>
    </row>
    <row r="215" spans="1:24" ht="122.25" customHeight="1">
      <c r="A215" s="141"/>
      <c r="B215" s="134"/>
      <c r="C215" s="132"/>
      <c r="D215" s="136"/>
      <c r="E215" s="141"/>
      <c r="F215" s="136"/>
      <c r="G215" s="138"/>
      <c r="H215" s="154"/>
      <c r="I215" s="134"/>
      <c r="J215" s="134"/>
      <c r="K215" s="134"/>
      <c r="L215" s="134"/>
      <c r="M215" s="134"/>
      <c r="N215" s="51" t="s">
        <v>38</v>
      </c>
      <c r="O215" s="48" t="s">
        <v>926</v>
      </c>
      <c r="P215" s="48" t="s">
        <v>927</v>
      </c>
      <c r="Q215" s="132"/>
      <c r="R215" s="132"/>
      <c r="S215" s="132"/>
      <c r="T215" s="132"/>
      <c r="U215" s="160"/>
      <c r="V215" s="132"/>
      <c r="W215" s="132"/>
      <c r="X215" s="132"/>
    </row>
    <row r="216" spans="1:24" ht="31.5" customHeight="1">
      <c r="A216" s="141"/>
      <c r="B216" s="134"/>
      <c r="C216" s="133"/>
      <c r="D216" s="136"/>
      <c r="E216" s="141"/>
      <c r="F216" s="136"/>
      <c r="G216" s="139"/>
      <c r="H216" s="155"/>
      <c r="I216" s="134"/>
      <c r="J216" s="134"/>
      <c r="K216" s="134"/>
      <c r="L216" s="134"/>
      <c r="M216" s="134"/>
      <c r="N216" s="51" t="s">
        <v>39</v>
      </c>
      <c r="O216" s="48" t="s">
        <v>284</v>
      </c>
      <c r="P216" s="19"/>
      <c r="Q216" s="133"/>
      <c r="R216" s="133"/>
      <c r="S216" s="133"/>
      <c r="T216" s="133"/>
      <c r="U216" s="161"/>
      <c r="V216" s="133"/>
      <c r="W216" s="133"/>
      <c r="X216" s="133"/>
    </row>
    <row r="217" spans="1:24" ht="42.75" customHeight="1">
      <c r="A217" s="142">
        <v>72</v>
      </c>
      <c r="B217" s="134" t="s">
        <v>448</v>
      </c>
      <c r="C217" s="148" t="s">
        <v>854</v>
      </c>
      <c r="D217" s="135" t="s">
        <v>653</v>
      </c>
      <c r="E217" s="141" t="s">
        <v>716</v>
      </c>
      <c r="F217" s="135" t="s">
        <v>653</v>
      </c>
      <c r="G217" s="137"/>
      <c r="H217" s="145" t="s">
        <v>627</v>
      </c>
      <c r="I217" s="131" t="s">
        <v>377</v>
      </c>
      <c r="J217" s="134" t="e">
        <f>#REF!</f>
        <v>#REF!</v>
      </c>
      <c r="K217" s="134" t="e">
        <f>#REF!</f>
        <v>#REF!</v>
      </c>
      <c r="L217" s="134" t="e">
        <f>#REF!</f>
        <v>#REF!</v>
      </c>
      <c r="M217" s="134" t="e">
        <f t="shared" ref="M217" si="140">IF(OR(L217&gt;6), "Non-acceptable","Acceptable")</f>
        <v>#REF!</v>
      </c>
      <c r="N217" s="51" t="s">
        <v>37</v>
      </c>
      <c r="O217" s="48" t="s">
        <v>378</v>
      </c>
      <c r="P217" s="42"/>
      <c r="Q217" s="131" t="e">
        <f>#REF!</f>
        <v>#REF!</v>
      </c>
      <c r="R217" s="131" t="e">
        <f>#REF!</f>
        <v>#REF!</v>
      </c>
      <c r="S217" s="131" t="e">
        <f>#REF!</f>
        <v>#REF!</v>
      </c>
      <c r="T217" s="131" t="e">
        <f t="shared" ref="T217" si="141">IF(OR(S217&gt;6), "Non-acceptable","Acceptable")</f>
        <v>#REF!</v>
      </c>
      <c r="U217" s="150" t="s">
        <v>742</v>
      </c>
      <c r="V217" s="131" t="s">
        <v>724</v>
      </c>
      <c r="W217" s="131" t="s">
        <v>725</v>
      </c>
      <c r="X217" s="131" t="s">
        <v>726</v>
      </c>
    </row>
    <row r="218" spans="1:24" ht="98.25" customHeight="1">
      <c r="A218" s="141"/>
      <c r="B218" s="134"/>
      <c r="C218" s="132"/>
      <c r="D218" s="136"/>
      <c r="E218" s="141"/>
      <c r="F218" s="136"/>
      <c r="G218" s="138"/>
      <c r="H218" s="154"/>
      <c r="I218" s="132"/>
      <c r="J218" s="134"/>
      <c r="K218" s="134"/>
      <c r="L218" s="134"/>
      <c r="M218" s="134"/>
      <c r="N218" s="51" t="s">
        <v>38</v>
      </c>
      <c r="O218" s="48" t="s">
        <v>928</v>
      </c>
      <c r="P218" s="48" t="s">
        <v>379</v>
      </c>
      <c r="Q218" s="132"/>
      <c r="R218" s="132"/>
      <c r="S218" s="132"/>
      <c r="T218" s="132"/>
      <c r="U218" s="160"/>
      <c r="V218" s="132"/>
      <c r="W218" s="132"/>
      <c r="X218" s="132"/>
    </row>
    <row r="219" spans="1:24" ht="36.75" customHeight="1">
      <c r="A219" s="141"/>
      <c r="B219" s="134"/>
      <c r="C219" s="133"/>
      <c r="D219" s="136"/>
      <c r="E219" s="141"/>
      <c r="F219" s="136"/>
      <c r="G219" s="139"/>
      <c r="H219" s="155"/>
      <c r="I219" s="133"/>
      <c r="J219" s="134"/>
      <c r="K219" s="134"/>
      <c r="L219" s="134"/>
      <c r="M219" s="134"/>
      <c r="N219" s="51" t="s">
        <v>39</v>
      </c>
      <c r="O219" s="48" t="s">
        <v>284</v>
      </c>
      <c r="P219" s="41"/>
      <c r="Q219" s="133"/>
      <c r="R219" s="133"/>
      <c r="S219" s="133"/>
      <c r="T219" s="133"/>
      <c r="U219" s="161"/>
      <c r="V219" s="133"/>
      <c r="W219" s="133"/>
      <c r="X219" s="133"/>
    </row>
    <row r="220" spans="1:24" ht="43.5" customHeight="1">
      <c r="A220" s="142">
        <v>73</v>
      </c>
      <c r="B220" s="134" t="s">
        <v>461</v>
      </c>
      <c r="C220" s="148" t="s">
        <v>854</v>
      </c>
      <c r="D220" s="145" t="s">
        <v>929</v>
      </c>
      <c r="E220" s="141" t="s">
        <v>716</v>
      </c>
      <c r="F220" s="145" t="s">
        <v>929</v>
      </c>
      <c r="G220" s="137"/>
      <c r="H220" s="145" t="s">
        <v>627</v>
      </c>
      <c r="I220" s="131" t="s">
        <v>377</v>
      </c>
      <c r="J220" s="134" t="e">
        <f>#REF!</f>
        <v>#REF!</v>
      </c>
      <c r="K220" s="134" t="e">
        <f>#REF!</f>
        <v>#REF!</v>
      </c>
      <c r="L220" s="134" t="e">
        <f>#REF!</f>
        <v>#REF!</v>
      </c>
      <c r="M220" s="134" t="e">
        <f t="shared" ref="M220" si="142">IF(OR(L220&gt;6), "Non-acceptable","Acceptable")</f>
        <v>#REF!</v>
      </c>
      <c r="N220" s="51" t="s">
        <v>37</v>
      </c>
      <c r="O220" s="48" t="s">
        <v>285</v>
      </c>
      <c r="P220" s="42"/>
      <c r="Q220" s="131" t="e">
        <f>#REF!</f>
        <v>#REF!</v>
      </c>
      <c r="R220" s="131" t="e">
        <f>#REF!</f>
        <v>#REF!</v>
      </c>
      <c r="S220" s="131" t="e">
        <f>#REF!</f>
        <v>#REF!</v>
      </c>
      <c r="T220" s="131" t="e">
        <f t="shared" ref="T220" si="143">IF(OR(S220&gt;6), "Non-acceptable","Acceptable")</f>
        <v>#REF!</v>
      </c>
      <c r="U220" s="150" t="s">
        <v>742</v>
      </c>
      <c r="V220" s="131" t="s">
        <v>724</v>
      </c>
      <c r="W220" s="131" t="s">
        <v>725</v>
      </c>
      <c r="X220" s="131" t="s">
        <v>726</v>
      </c>
    </row>
    <row r="221" spans="1:24" ht="147" customHeight="1">
      <c r="A221" s="141"/>
      <c r="B221" s="134"/>
      <c r="C221" s="132"/>
      <c r="D221" s="146"/>
      <c r="E221" s="141"/>
      <c r="F221" s="146"/>
      <c r="G221" s="138"/>
      <c r="H221" s="154"/>
      <c r="I221" s="132"/>
      <c r="J221" s="134"/>
      <c r="K221" s="134"/>
      <c r="L221" s="134"/>
      <c r="M221" s="134"/>
      <c r="N221" s="51" t="s">
        <v>38</v>
      </c>
      <c r="O221" s="40" t="s">
        <v>380</v>
      </c>
      <c r="P221" s="40" t="s">
        <v>381</v>
      </c>
      <c r="Q221" s="132"/>
      <c r="R221" s="132"/>
      <c r="S221" s="132"/>
      <c r="T221" s="132"/>
      <c r="U221" s="160"/>
      <c r="V221" s="132"/>
      <c r="W221" s="132"/>
      <c r="X221" s="132"/>
    </row>
    <row r="222" spans="1:24" ht="35.25" customHeight="1">
      <c r="A222" s="141"/>
      <c r="B222" s="134"/>
      <c r="C222" s="133"/>
      <c r="D222" s="147"/>
      <c r="E222" s="141"/>
      <c r="F222" s="147"/>
      <c r="G222" s="139"/>
      <c r="H222" s="155"/>
      <c r="I222" s="133"/>
      <c r="J222" s="134"/>
      <c r="K222" s="134"/>
      <c r="L222" s="134"/>
      <c r="M222" s="134"/>
      <c r="N222" s="51" t="s">
        <v>39</v>
      </c>
      <c r="O222" s="48" t="s">
        <v>284</v>
      </c>
      <c r="P222" s="41"/>
      <c r="Q222" s="133"/>
      <c r="R222" s="133"/>
      <c r="S222" s="133"/>
      <c r="T222" s="133"/>
      <c r="U222" s="161"/>
      <c r="V222" s="133"/>
      <c r="W222" s="133"/>
      <c r="X222" s="133"/>
    </row>
    <row r="223" spans="1:24" ht="45" customHeight="1">
      <c r="A223" s="142">
        <v>74</v>
      </c>
      <c r="B223" s="134" t="s">
        <v>401</v>
      </c>
      <c r="C223" s="148" t="s">
        <v>854</v>
      </c>
      <c r="D223" s="150" t="s">
        <v>930</v>
      </c>
      <c r="E223" s="141" t="s">
        <v>716</v>
      </c>
      <c r="F223" s="150" t="s">
        <v>930</v>
      </c>
      <c r="G223" s="137"/>
      <c r="H223" s="145" t="s">
        <v>627</v>
      </c>
      <c r="I223" s="134" t="s">
        <v>402</v>
      </c>
      <c r="J223" s="134" t="e">
        <f>#REF!</f>
        <v>#REF!</v>
      </c>
      <c r="K223" s="134" t="e">
        <f>#REF!</f>
        <v>#REF!</v>
      </c>
      <c r="L223" s="134" t="e">
        <f>#REF!</f>
        <v>#REF!</v>
      </c>
      <c r="M223" s="134" t="e">
        <f t="shared" ref="M223" si="144">IF(OR(L223&gt;6), "Non-acceptable","Acceptable")</f>
        <v>#REF!</v>
      </c>
      <c r="N223" s="51" t="s">
        <v>37</v>
      </c>
      <c r="O223" s="48" t="s">
        <v>931</v>
      </c>
      <c r="P223" s="48" t="s">
        <v>932</v>
      </c>
      <c r="Q223" s="131" t="e">
        <f>#REF!</f>
        <v>#REF!</v>
      </c>
      <c r="R223" s="131" t="e">
        <f>#REF!</f>
        <v>#REF!</v>
      </c>
      <c r="S223" s="131" t="e">
        <f>#REF!</f>
        <v>#REF!</v>
      </c>
      <c r="T223" s="131" t="e">
        <f t="shared" ref="T223" si="145">IF(OR(S223&gt;6), "Non-acceptable","Acceptable")</f>
        <v>#REF!</v>
      </c>
      <c r="U223" s="159" t="s">
        <v>757</v>
      </c>
      <c r="V223" s="131" t="s">
        <v>724</v>
      </c>
      <c r="W223" s="131" t="s">
        <v>725</v>
      </c>
      <c r="X223" s="131" t="s">
        <v>726</v>
      </c>
    </row>
    <row r="224" spans="1:24" ht="87.75" customHeight="1">
      <c r="A224" s="141"/>
      <c r="B224" s="134"/>
      <c r="C224" s="132"/>
      <c r="D224" s="151"/>
      <c r="E224" s="141"/>
      <c r="F224" s="151"/>
      <c r="G224" s="138"/>
      <c r="H224" s="154"/>
      <c r="I224" s="134"/>
      <c r="J224" s="134"/>
      <c r="K224" s="134"/>
      <c r="L224" s="134"/>
      <c r="M224" s="134"/>
      <c r="N224" s="51" t="s">
        <v>38</v>
      </c>
      <c r="O224" s="40" t="s">
        <v>933</v>
      </c>
      <c r="P224" s="40" t="s">
        <v>934</v>
      </c>
      <c r="Q224" s="132"/>
      <c r="R224" s="132"/>
      <c r="S224" s="132"/>
      <c r="T224" s="132"/>
      <c r="U224" s="160"/>
      <c r="V224" s="132"/>
      <c r="W224" s="132"/>
      <c r="X224" s="132"/>
    </row>
    <row r="225" spans="1:24" ht="49.5" customHeight="1">
      <c r="A225" s="141"/>
      <c r="B225" s="134"/>
      <c r="C225" s="133"/>
      <c r="D225" s="152"/>
      <c r="E225" s="141"/>
      <c r="F225" s="152"/>
      <c r="G225" s="139"/>
      <c r="H225" s="155"/>
      <c r="I225" s="134"/>
      <c r="J225" s="134"/>
      <c r="K225" s="134"/>
      <c r="L225" s="134"/>
      <c r="M225" s="134"/>
      <c r="N225" s="51" t="s">
        <v>39</v>
      </c>
      <c r="O225" s="48" t="s">
        <v>560</v>
      </c>
      <c r="P225" s="19" t="s">
        <v>21</v>
      </c>
      <c r="Q225" s="133"/>
      <c r="R225" s="133"/>
      <c r="S225" s="133"/>
      <c r="T225" s="133"/>
      <c r="U225" s="161"/>
      <c r="V225" s="133"/>
      <c r="W225" s="133"/>
      <c r="X225" s="133"/>
    </row>
    <row r="226" spans="1:24" ht="42" customHeight="1">
      <c r="A226" s="142">
        <v>75</v>
      </c>
      <c r="B226" s="134" t="s">
        <v>401</v>
      </c>
      <c r="C226" s="148" t="s">
        <v>854</v>
      </c>
      <c r="D226" s="150" t="s">
        <v>935</v>
      </c>
      <c r="E226" s="141" t="s">
        <v>716</v>
      </c>
      <c r="F226" s="150" t="s">
        <v>935</v>
      </c>
      <c r="G226" s="137"/>
      <c r="H226" s="145" t="s">
        <v>627</v>
      </c>
      <c r="I226" s="134" t="s">
        <v>402</v>
      </c>
      <c r="J226" s="134" t="e">
        <f>#REF!</f>
        <v>#REF!</v>
      </c>
      <c r="K226" s="134" t="e">
        <f>#REF!</f>
        <v>#REF!</v>
      </c>
      <c r="L226" s="134" t="e">
        <f>#REF!</f>
        <v>#REF!</v>
      </c>
      <c r="M226" s="134" t="e">
        <f t="shared" ref="M226" si="146">IF(OR(L226&gt;6), "Non-acceptable","Acceptable")</f>
        <v>#REF!</v>
      </c>
      <c r="N226" s="51" t="s">
        <v>37</v>
      </c>
      <c r="O226" s="48" t="s">
        <v>866</v>
      </c>
      <c r="P226" s="48" t="s">
        <v>936</v>
      </c>
      <c r="Q226" s="131" t="e">
        <f>#REF!</f>
        <v>#REF!</v>
      </c>
      <c r="R226" s="131" t="e">
        <f>#REF!</f>
        <v>#REF!</v>
      </c>
      <c r="S226" s="131" t="e">
        <f>#REF!</f>
        <v>#REF!</v>
      </c>
      <c r="T226" s="131" t="e">
        <f t="shared" ref="T226" si="147">IF(OR(S226&gt;6), "Non-acceptable","Acceptable")</f>
        <v>#REF!</v>
      </c>
      <c r="U226" s="150" t="s">
        <v>742</v>
      </c>
      <c r="V226" s="131" t="s">
        <v>724</v>
      </c>
      <c r="W226" s="131" t="s">
        <v>725</v>
      </c>
      <c r="X226" s="131" t="s">
        <v>726</v>
      </c>
    </row>
    <row r="227" spans="1:24" ht="88.5" customHeight="1">
      <c r="A227" s="141"/>
      <c r="B227" s="134"/>
      <c r="C227" s="132"/>
      <c r="D227" s="151"/>
      <c r="E227" s="141"/>
      <c r="F227" s="151"/>
      <c r="G227" s="138"/>
      <c r="H227" s="154"/>
      <c r="I227" s="134"/>
      <c r="J227" s="134"/>
      <c r="K227" s="134"/>
      <c r="L227" s="134"/>
      <c r="M227" s="134"/>
      <c r="N227" s="51" t="s">
        <v>38</v>
      </c>
      <c r="O227" s="48" t="s">
        <v>868</v>
      </c>
      <c r="P227" s="48" t="s">
        <v>937</v>
      </c>
      <c r="Q227" s="132"/>
      <c r="R227" s="132"/>
      <c r="S227" s="132"/>
      <c r="T227" s="132"/>
      <c r="U227" s="160"/>
      <c r="V227" s="132"/>
      <c r="W227" s="132"/>
      <c r="X227" s="132"/>
    </row>
    <row r="228" spans="1:24" ht="36" customHeight="1">
      <c r="A228" s="141"/>
      <c r="B228" s="134"/>
      <c r="C228" s="133"/>
      <c r="D228" s="152"/>
      <c r="E228" s="141"/>
      <c r="F228" s="152"/>
      <c r="G228" s="139"/>
      <c r="H228" s="155"/>
      <c r="I228" s="134"/>
      <c r="J228" s="134"/>
      <c r="K228" s="134"/>
      <c r="L228" s="134"/>
      <c r="M228" s="134"/>
      <c r="N228" s="51" t="s">
        <v>39</v>
      </c>
      <c r="O228" s="48" t="s">
        <v>284</v>
      </c>
      <c r="P228" s="41"/>
      <c r="Q228" s="133"/>
      <c r="R228" s="133"/>
      <c r="S228" s="133"/>
      <c r="T228" s="133"/>
      <c r="U228" s="161"/>
      <c r="V228" s="133"/>
      <c r="W228" s="133"/>
      <c r="X228" s="133"/>
    </row>
    <row r="229" spans="1:24" ht="49.5" customHeight="1">
      <c r="A229" s="142">
        <v>76</v>
      </c>
      <c r="B229" s="134" t="s">
        <v>459</v>
      </c>
      <c r="C229" s="148" t="s">
        <v>854</v>
      </c>
      <c r="D229" s="150" t="s">
        <v>654</v>
      </c>
      <c r="E229" s="141" t="s">
        <v>716</v>
      </c>
      <c r="F229" s="150" t="s">
        <v>654</v>
      </c>
      <c r="G229" s="137"/>
      <c r="H229" s="136" t="s">
        <v>649</v>
      </c>
      <c r="I229" s="134" t="s">
        <v>304</v>
      </c>
      <c r="J229" s="134" t="e">
        <f>#REF!</f>
        <v>#REF!</v>
      </c>
      <c r="K229" s="134" t="e">
        <f>#REF!</f>
        <v>#REF!</v>
      </c>
      <c r="L229" s="134" t="e">
        <f>#REF!</f>
        <v>#REF!</v>
      </c>
      <c r="M229" s="134" t="e">
        <f t="shared" ref="M229" si="148">IF(OR(L229&gt;6), "Non-acceptable","Acceptable")</f>
        <v>#REF!</v>
      </c>
      <c r="N229" s="51" t="s">
        <v>37</v>
      </c>
      <c r="O229" s="48" t="s">
        <v>287</v>
      </c>
      <c r="P229" s="42"/>
      <c r="Q229" s="131" t="e">
        <f>#REF!</f>
        <v>#REF!</v>
      </c>
      <c r="R229" s="131" t="e">
        <f>#REF!</f>
        <v>#REF!</v>
      </c>
      <c r="S229" s="131" t="e">
        <f>#REF!</f>
        <v>#REF!</v>
      </c>
      <c r="T229" s="131" t="e">
        <f t="shared" ref="T229" si="149">IF(OR(S229&gt;6), "Non-acceptable","Acceptable")</f>
        <v>#REF!</v>
      </c>
      <c r="U229" s="150" t="s">
        <v>742</v>
      </c>
      <c r="V229" s="131" t="s">
        <v>724</v>
      </c>
      <c r="W229" s="131" t="s">
        <v>725</v>
      </c>
      <c r="X229" s="131" t="s">
        <v>726</v>
      </c>
    </row>
    <row r="230" spans="1:24" ht="53.25" customHeight="1">
      <c r="A230" s="141"/>
      <c r="B230" s="134"/>
      <c r="C230" s="132"/>
      <c r="D230" s="151"/>
      <c r="E230" s="141"/>
      <c r="F230" s="151"/>
      <c r="G230" s="138"/>
      <c r="H230" s="136"/>
      <c r="I230" s="134"/>
      <c r="J230" s="134"/>
      <c r="K230" s="134"/>
      <c r="L230" s="134"/>
      <c r="M230" s="134"/>
      <c r="N230" s="51" t="s">
        <v>38</v>
      </c>
      <c r="O230" s="40" t="s">
        <v>877</v>
      </c>
      <c r="P230" s="40" t="s">
        <v>878</v>
      </c>
      <c r="Q230" s="132"/>
      <c r="R230" s="132"/>
      <c r="S230" s="132"/>
      <c r="T230" s="132"/>
      <c r="U230" s="160"/>
      <c r="V230" s="132"/>
      <c r="W230" s="132"/>
      <c r="X230" s="132"/>
    </row>
    <row r="231" spans="1:24" ht="35.25" customHeight="1">
      <c r="A231" s="141"/>
      <c r="B231" s="134"/>
      <c r="C231" s="133"/>
      <c r="D231" s="152"/>
      <c r="E231" s="141"/>
      <c r="F231" s="152"/>
      <c r="G231" s="139"/>
      <c r="H231" s="136"/>
      <c r="I231" s="134"/>
      <c r="J231" s="134"/>
      <c r="K231" s="134"/>
      <c r="L231" s="134"/>
      <c r="M231" s="134"/>
      <c r="N231" s="51" t="s">
        <v>39</v>
      </c>
      <c r="O231" s="48" t="s">
        <v>284</v>
      </c>
      <c r="P231" s="41"/>
      <c r="Q231" s="133"/>
      <c r="R231" s="133"/>
      <c r="S231" s="133"/>
      <c r="T231" s="133"/>
      <c r="U231" s="161"/>
      <c r="V231" s="133"/>
      <c r="W231" s="133"/>
      <c r="X231" s="133"/>
    </row>
    <row r="232" spans="1:24" ht="44.25" customHeight="1">
      <c r="A232" s="142">
        <v>77</v>
      </c>
      <c r="B232" s="134" t="s">
        <v>461</v>
      </c>
      <c r="C232" s="148" t="s">
        <v>938</v>
      </c>
      <c r="D232" s="150" t="s">
        <v>657</v>
      </c>
      <c r="E232" s="141" t="s">
        <v>716</v>
      </c>
      <c r="F232" s="150" t="s">
        <v>657</v>
      </c>
      <c r="G232" s="52"/>
      <c r="H232" s="145" t="s">
        <v>627</v>
      </c>
      <c r="I232" s="134" t="s">
        <v>375</v>
      </c>
      <c r="J232" s="134" t="e">
        <f>#REF!</f>
        <v>#REF!</v>
      </c>
      <c r="K232" s="134" t="e">
        <f>#REF!</f>
        <v>#REF!</v>
      </c>
      <c r="L232" s="134" t="e">
        <f>#REF!</f>
        <v>#REF!</v>
      </c>
      <c r="M232" s="134" t="e">
        <f t="shared" ref="M232" si="150">IF(OR(L232&gt;6), "Non-acceptable","Acceptable")</f>
        <v>#REF!</v>
      </c>
      <c r="N232" s="51" t="s">
        <v>37</v>
      </c>
      <c r="O232" s="48" t="s">
        <v>287</v>
      </c>
      <c r="P232" s="41"/>
      <c r="Q232" s="131" t="e">
        <f>#REF!</f>
        <v>#REF!</v>
      </c>
      <c r="R232" s="131" t="e">
        <f>#REF!</f>
        <v>#REF!</v>
      </c>
      <c r="S232" s="131" t="e">
        <f>#REF!</f>
        <v>#REF!</v>
      </c>
      <c r="T232" s="131" t="e">
        <f t="shared" ref="T232" si="151">IF(OR(S232&gt;6), "Non-acceptable","Acceptable")</f>
        <v>#REF!</v>
      </c>
      <c r="U232" s="150" t="s">
        <v>742</v>
      </c>
      <c r="V232" s="131" t="s">
        <v>724</v>
      </c>
      <c r="W232" s="131" t="s">
        <v>725</v>
      </c>
      <c r="X232" s="131" t="s">
        <v>726</v>
      </c>
    </row>
    <row r="233" spans="1:24" ht="54.75" customHeight="1">
      <c r="A233" s="141"/>
      <c r="B233" s="134"/>
      <c r="C233" s="132"/>
      <c r="D233" s="151"/>
      <c r="E233" s="141"/>
      <c r="F233" s="151"/>
      <c r="G233" s="52"/>
      <c r="H233" s="154"/>
      <c r="I233" s="134"/>
      <c r="J233" s="134"/>
      <c r="K233" s="134"/>
      <c r="L233" s="134"/>
      <c r="M233" s="134"/>
      <c r="N233" s="51" t="s">
        <v>38</v>
      </c>
      <c r="O233" s="40" t="s">
        <v>939</v>
      </c>
      <c r="P233" s="40" t="s">
        <v>940</v>
      </c>
      <c r="Q233" s="132"/>
      <c r="R233" s="132"/>
      <c r="S233" s="132"/>
      <c r="T233" s="132"/>
      <c r="U233" s="160"/>
      <c r="V233" s="132"/>
      <c r="W233" s="132"/>
      <c r="X233" s="132"/>
    </row>
    <row r="234" spans="1:24" ht="42.75" customHeight="1">
      <c r="A234" s="141"/>
      <c r="B234" s="134"/>
      <c r="C234" s="133"/>
      <c r="D234" s="152"/>
      <c r="E234" s="141"/>
      <c r="F234" s="152"/>
      <c r="G234" s="52"/>
      <c r="H234" s="155"/>
      <c r="I234" s="134"/>
      <c r="J234" s="134"/>
      <c r="K234" s="134"/>
      <c r="L234" s="134"/>
      <c r="M234" s="134"/>
      <c r="N234" s="51" t="s">
        <v>39</v>
      </c>
      <c r="O234" s="48" t="s">
        <v>284</v>
      </c>
      <c r="P234" s="41"/>
      <c r="Q234" s="133"/>
      <c r="R234" s="133"/>
      <c r="S234" s="133"/>
      <c r="T234" s="133"/>
      <c r="U234" s="161"/>
      <c r="V234" s="133"/>
      <c r="W234" s="133"/>
      <c r="X234" s="133"/>
    </row>
    <row r="235" spans="1:24" ht="44.25" customHeight="1">
      <c r="A235" s="142">
        <v>78</v>
      </c>
      <c r="B235" s="134" t="s">
        <v>459</v>
      </c>
      <c r="C235" s="148" t="s">
        <v>854</v>
      </c>
      <c r="D235" s="150" t="s">
        <v>656</v>
      </c>
      <c r="E235" s="141" t="s">
        <v>716</v>
      </c>
      <c r="F235" s="150" t="s">
        <v>656</v>
      </c>
      <c r="G235" s="137"/>
      <c r="H235" s="136" t="s">
        <v>649</v>
      </c>
      <c r="I235" s="134" t="s">
        <v>83</v>
      </c>
      <c r="J235" s="134" t="e">
        <f>#REF!</f>
        <v>#REF!</v>
      </c>
      <c r="K235" s="134" t="e">
        <f>#REF!</f>
        <v>#REF!</v>
      </c>
      <c r="L235" s="134" t="e">
        <f>#REF!</f>
        <v>#REF!</v>
      </c>
      <c r="M235" s="134" t="e">
        <f t="shared" ref="M235" si="152">IF(OR(L235&gt;6), "Non-acceptable","Acceptable")</f>
        <v>#REF!</v>
      </c>
      <c r="N235" s="51" t="s">
        <v>37</v>
      </c>
      <c r="O235" s="48" t="s">
        <v>283</v>
      </c>
      <c r="P235" s="42"/>
      <c r="Q235" s="131" t="e">
        <f>#REF!</f>
        <v>#REF!</v>
      </c>
      <c r="R235" s="131" t="e">
        <f>#REF!</f>
        <v>#REF!</v>
      </c>
      <c r="S235" s="131" t="e">
        <f>#REF!</f>
        <v>#REF!</v>
      </c>
      <c r="T235" s="131" t="e">
        <f t="shared" ref="T235" si="153">IF(OR(S235&gt;6), "Non-acceptable","Acceptable")</f>
        <v>#REF!</v>
      </c>
      <c r="U235" s="150" t="s">
        <v>742</v>
      </c>
      <c r="V235" s="131" t="s">
        <v>724</v>
      </c>
      <c r="W235" s="131" t="s">
        <v>725</v>
      </c>
      <c r="X235" s="131" t="s">
        <v>794</v>
      </c>
    </row>
    <row r="236" spans="1:24" ht="63.75" customHeight="1">
      <c r="A236" s="141"/>
      <c r="B236" s="134"/>
      <c r="C236" s="132"/>
      <c r="D236" s="151"/>
      <c r="E236" s="141"/>
      <c r="F236" s="151"/>
      <c r="G236" s="138"/>
      <c r="H236" s="136"/>
      <c r="I236" s="134"/>
      <c r="J236" s="134"/>
      <c r="K236" s="134"/>
      <c r="L236" s="134"/>
      <c r="M236" s="134"/>
      <c r="N236" s="51" t="s">
        <v>38</v>
      </c>
      <c r="O236" s="40" t="s">
        <v>289</v>
      </c>
      <c r="P236" s="40" t="s">
        <v>288</v>
      </c>
      <c r="Q236" s="132"/>
      <c r="R236" s="132"/>
      <c r="S236" s="132"/>
      <c r="T236" s="132"/>
      <c r="U236" s="160"/>
      <c r="V236" s="132"/>
      <c r="W236" s="132"/>
      <c r="X236" s="132"/>
    </row>
    <row r="237" spans="1:24" ht="34.5" customHeight="1">
      <c r="A237" s="141"/>
      <c r="B237" s="134"/>
      <c r="C237" s="133"/>
      <c r="D237" s="152"/>
      <c r="E237" s="141"/>
      <c r="F237" s="152"/>
      <c r="G237" s="139"/>
      <c r="H237" s="136"/>
      <c r="I237" s="134"/>
      <c r="J237" s="134"/>
      <c r="K237" s="134"/>
      <c r="L237" s="134"/>
      <c r="M237" s="134"/>
      <c r="N237" s="51" t="s">
        <v>39</v>
      </c>
      <c r="O237" s="48" t="s">
        <v>284</v>
      </c>
      <c r="P237" s="41"/>
      <c r="Q237" s="133"/>
      <c r="R237" s="133"/>
      <c r="S237" s="133"/>
      <c r="T237" s="133"/>
      <c r="U237" s="161"/>
      <c r="V237" s="133"/>
      <c r="W237" s="133"/>
      <c r="X237" s="133"/>
    </row>
    <row r="238" spans="1:24" ht="46.5" customHeight="1">
      <c r="A238" s="142">
        <v>79</v>
      </c>
      <c r="B238" s="134" t="s">
        <v>461</v>
      </c>
      <c r="C238" s="148" t="s">
        <v>938</v>
      </c>
      <c r="D238" s="150" t="s">
        <v>655</v>
      </c>
      <c r="E238" s="141" t="s">
        <v>716</v>
      </c>
      <c r="F238" s="150" t="s">
        <v>655</v>
      </c>
      <c r="G238" s="52"/>
      <c r="H238" s="145" t="s">
        <v>627</v>
      </c>
      <c r="I238" s="134" t="s">
        <v>375</v>
      </c>
      <c r="J238" s="134" t="e">
        <f>#REF!</f>
        <v>#REF!</v>
      </c>
      <c r="K238" s="134" t="e">
        <f>#REF!</f>
        <v>#REF!</v>
      </c>
      <c r="L238" s="134" t="e">
        <f>#REF!</f>
        <v>#REF!</v>
      </c>
      <c r="M238" s="134" t="e">
        <f t="shared" ref="M238" si="154">IF(OR(L238&gt;6), "Non-acceptable","Acceptable")</f>
        <v>#REF!</v>
      </c>
      <c r="N238" s="51" t="s">
        <v>37</v>
      </c>
      <c r="O238" s="48" t="s">
        <v>285</v>
      </c>
      <c r="P238" s="42"/>
      <c r="Q238" s="131" t="e">
        <f>#REF!</f>
        <v>#REF!</v>
      </c>
      <c r="R238" s="131" t="e">
        <f>#REF!</f>
        <v>#REF!</v>
      </c>
      <c r="S238" s="131" t="e">
        <f>#REF!</f>
        <v>#REF!</v>
      </c>
      <c r="T238" s="131" t="e">
        <f t="shared" ref="T238" si="155">IF(OR(S238&gt;6), "Non-acceptable","Acceptable")</f>
        <v>#REF!</v>
      </c>
      <c r="U238" s="150" t="s">
        <v>742</v>
      </c>
      <c r="V238" s="131" t="s">
        <v>724</v>
      </c>
      <c r="W238" s="131" t="s">
        <v>725</v>
      </c>
      <c r="X238" s="131" t="s">
        <v>726</v>
      </c>
    </row>
    <row r="239" spans="1:24" ht="67.5" customHeight="1">
      <c r="A239" s="141"/>
      <c r="B239" s="134"/>
      <c r="C239" s="132"/>
      <c r="D239" s="151"/>
      <c r="E239" s="141"/>
      <c r="F239" s="151"/>
      <c r="G239" s="52"/>
      <c r="H239" s="154"/>
      <c r="I239" s="134"/>
      <c r="J239" s="134"/>
      <c r="K239" s="134"/>
      <c r="L239" s="134"/>
      <c r="M239" s="134"/>
      <c r="N239" s="51" t="s">
        <v>38</v>
      </c>
      <c r="O239" s="40" t="s">
        <v>308</v>
      </c>
      <c r="P239" s="40" t="s">
        <v>309</v>
      </c>
      <c r="Q239" s="132"/>
      <c r="R239" s="132"/>
      <c r="S239" s="132"/>
      <c r="T239" s="132"/>
      <c r="U239" s="160"/>
      <c r="V239" s="132"/>
      <c r="W239" s="132"/>
      <c r="X239" s="132"/>
    </row>
    <row r="240" spans="1:24" ht="38.25" customHeight="1">
      <c r="A240" s="141"/>
      <c r="B240" s="134"/>
      <c r="C240" s="133"/>
      <c r="D240" s="152"/>
      <c r="E240" s="141"/>
      <c r="F240" s="152"/>
      <c r="G240" s="52"/>
      <c r="H240" s="155"/>
      <c r="I240" s="134"/>
      <c r="J240" s="134"/>
      <c r="K240" s="134"/>
      <c r="L240" s="134"/>
      <c r="M240" s="134"/>
      <c r="N240" s="51" t="s">
        <v>39</v>
      </c>
      <c r="O240" s="48" t="s">
        <v>284</v>
      </c>
      <c r="P240" s="41"/>
      <c r="Q240" s="133"/>
      <c r="R240" s="133"/>
      <c r="S240" s="133"/>
      <c r="T240" s="133"/>
      <c r="U240" s="161"/>
      <c r="V240" s="133"/>
      <c r="W240" s="133"/>
      <c r="X240" s="133"/>
    </row>
    <row r="241" spans="1:24" ht="42" customHeight="1">
      <c r="A241" s="142">
        <v>80</v>
      </c>
      <c r="B241" s="131" t="s">
        <v>316</v>
      </c>
      <c r="C241" s="148" t="s">
        <v>854</v>
      </c>
      <c r="D241" s="135" t="s">
        <v>658</v>
      </c>
      <c r="E241" s="184" t="s">
        <v>716</v>
      </c>
      <c r="F241" s="135" t="s">
        <v>658</v>
      </c>
      <c r="G241" s="137"/>
      <c r="H241" s="145" t="s">
        <v>627</v>
      </c>
      <c r="I241" s="134" t="s">
        <v>375</v>
      </c>
      <c r="J241" s="134" t="e">
        <f>#REF!</f>
        <v>#REF!</v>
      </c>
      <c r="K241" s="134" t="e">
        <f>#REF!</f>
        <v>#REF!</v>
      </c>
      <c r="L241" s="134" t="e">
        <f>#REF!</f>
        <v>#REF!</v>
      </c>
      <c r="M241" s="134" t="e">
        <f t="shared" ref="M241" si="156">IF(OR(L241&gt;6), "Non-acceptable","Acceptable")</f>
        <v>#REF!</v>
      </c>
      <c r="N241" s="51" t="s">
        <v>37</v>
      </c>
      <c r="O241" s="48" t="s">
        <v>291</v>
      </c>
      <c r="P241" s="60"/>
      <c r="Q241" s="131" t="e">
        <f>#REF!</f>
        <v>#REF!</v>
      </c>
      <c r="R241" s="131" t="e">
        <f>#REF!</f>
        <v>#REF!</v>
      </c>
      <c r="S241" s="131" t="e">
        <f>#REF!</f>
        <v>#REF!</v>
      </c>
      <c r="T241" s="131" t="e">
        <f t="shared" ref="T241" si="157">IF(OR(S241&gt;6), "Non-acceptable","Acceptable")</f>
        <v>#REF!</v>
      </c>
      <c r="U241" s="150" t="s">
        <v>742</v>
      </c>
      <c r="V241" s="131" t="s">
        <v>724</v>
      </c>
      <c r="W241" s="131" t="s">
        <v>797</v>
      </c>
      <c r="X241" s="131" t="s">
        <v>726</v>
      </c>
    </row>
    <row r="242" spans="1:24" ht="91.9">
      <c r="A242" s="141"/>
      <c r="B242" s="132"/>
      <c r="C242" s="132"/>
      <c r="D242" s="136"/>
      <c r="E242" s="185"/>
      <c r="F242" s="136"/>
      <c r="G242" s="138"/>
      <c r="H242" s="154"/>
      <c r="I242" s="134"/>
      <c r="J242" s="134"/>
      <c r="K242" s="134"/>
      <c r="L242" s="134"/>
      <c r="M242" s="134"/>
      <c r="N242" s="51" t="s">
        <v>38</v>
      </c>
      <c r="O242" s="40" t="s">
        <v>185</v>
      </c>
      <c r="P242" s="40" t="s">
        <v>186</v>
      </c>
      <c r="Q242" s="132"/>
      <c r="R242" s="132"/>
      <c r="S242" s="132"/>
      <c r="T242" s="132"/>
      <c r="U242" s="160"/>
      <c r="V242" s="132"/>
      <c r="W242" s="132"/>
      <c r="X242" s="132"/>
    </row>
    <row r="243" spans="1:24" ht="38.25" customHeight="1">
      <c r="A243" s="141"/>
      <c r="B243" s="133"/>
      <c r="C243" s="133"/>
      <c r="D243" s="136"/>
      <c r="E243" s="186"/>
      <c r="F243" s="136"/>
      <c r="G243" s="139"/>
      <c r="H243" s="155"/>
      <c r="I243" s="134"/>
      <c r="J243" s="134"/>
      <c r="K243" s="134"/>
      <c r="L243" s="134"/>
      <c r="M243" s="134"/>
      <c r="N243" s="51" t="s">
        <v>39</v>
      </c>
      <c r="O243" s="48" t="s">
        <v>284</v>
      </c>
      <c r="P243" s="41"/>
      <c r="Q243" s="133"/>
      <c r="R243" s="133"/>
      <c r="S243" s="133"/>
      <c r="T243" s="133"/>
      <c r="U243" s="161"/>
      <c r="V243" s="133"/>
      <c r="W243" s="133"/>
      <c r="X243" s="133"/>
    </row>
    <row r="244" spans="1:24" ht="45.75" customHeight="1">
      <c r="A244" s="142">
        <v>81</v>
      </c>
      <c r="B244" s="131" t="s">
        <v>316</v>
      </c>
      <c r="C244" s="148" t="s">
        <v>854</v>
      </c>
      <c r="D244" s="145" t="s">
        <v>941</v>
      </c>
      <c r="E244" s="166" t="s">
        <v>716</v>
      </c>
      <c r="F244" s="145" t="s">
        <v>941</v>
      </c>
      <c r="G244" s="137"/>
      <c r="H244" s="145" t="s">
        <v>627</v>
      </c>
      <c r="I244" s="134" t="s">
        <v>375</v>
      </c>
      <c r="J244" s="134" t="e">
        <f>#REF!</f>
        <v>#REF!</v>
      </c>
      <c r="K244" s="134" t="e">
        <f>#REF!</f>
        <v>#REF!</v>
      </c>
      <c r="L244" s="134" t="e">
        <f>#REF!</f>
        <v>#REF!</v>
      </c>
      <c r="M244" s="134" t="e">
        <f t="shared" ref="M244" si="158">IF(OR(L244&gt;6), "Non-acceptable","Acceptable")</f>
        <v>#REF!</v>
      </c>
      <c r="N244" s="51" t="s">
        <v>37</v>
      </c>
      <c r="O244" s="40" t="s">
        <v>292</v>
      </c>
      <c r="P244" s="40" t="s">
        <v>187</v>
      </c>
      <c r="Q244" s="131" t="e">
        <f>#REF!</f>
        <v>#REF!</v>
      </c>
      <c r="R244" s="131" t="e">
        <f>#REF!</f>
        <v>#REF!</v>
      </c>
      <c r="S244" s="131" t="e">
        <f>#REF!</f>
        <v>#REF!</v>
      </c>
      <c r="T244" s="131" t="e">
        <f t="shared" ref="T244" si="159">IF(OR(S244&gt;6), "Non-acceptable","Acceptable")</f>
        <v>#REF!</v>
      </c>
      <c r="U244" s="150" t="s">
        <v>742</v>
      </c>
      <c r="V244" s="131" t="s">
        <v>724</v>
      </c>
      <c r="W244" s="131" t="s">
        <v>725</v>
      </c>
      <c r="X244" s="131" t="s">
        <v>794</v>
      </c>
    </row>
    <row r="245" spans="1:24" ht="66.75" customHeight="1">
      <c r="A245" s="141"/>
      <c r="B245" s="132"/>
      <c r="C245" s="132"/>
      <c r="D245" s="146"/>
      <c r="E245" s="167"/>
      <c r="F245" s="146"/>
      <c r="G245" s="138"/>
      <c r="H245" s="154"/>
      <c r="I245" s="134"/>
      <c r="J245" s="134"/>
      <c r="K245" s="134"/>
      <c r="L245" s="134"/>
      <c r="M245" s="134"/>
      <c r="N245" s="51" t="s">
        <v>38</v>
      </c>
      <c r="O245" s="40" t="s">
        <v>295</v>
      </c>
      <c r="P245" s="40" t="s">
        <v>317</v>
      </c>
      <c r="Q245" s="132"/>
      <c r="R245" s="132"/>
      <c r="S245" s="132"/>
      <c r="T245" s="132"/>
      <c r="U245" s="160"/>
      <c r="V245" s="132"/>
      <c r="W245" s="132"/>
      <c r="X245" s="132"/>
    </row>
    <row r="246" spans="1:24" ht="35.25" customHeight="1">
      <c r="A246" s="141"/>
      <c r="B246" s="133"/>
      <c r="C246" s="133"/>
      <c r="D246" s="147"/>
      <c r="E246" s="168"/>
      <c r="F246" s="147"/>
      <c r="G246" s="139"/>
      <c r="H246" s="155"/>
      <c r="I246" s="134"/>
      <c r="J246" s="134"/>
      <c r="K246" s="134"/>
      <c r="L246" s="134"/>
      <c r="M246" s="134"/>
      <c r="N246" s="51" t="s">
        <v>39</v>
      </c>
      <c r="O246" s="48" t="s">
        <v>284</v>
      </c>
      <c r="P246" s="41"/>
      <c r="Q246" s="133"/>
      <c r="R246" s="133"/>
      <c r="S246" s="133"/>
      <c r="T246" s="133"/>
      <c r="U246" s="161"/>
      <c r="V246" s="133"/>
      <c r="W246" s="133"/>
      <c r="X246" s="133"/>
    </row>
    <row r="247" spans="1:24" s="61" customFormat="1" ht="43.5" customHeight="1">
      <c r="A247" s="142">
        <v>82</v>
      </c>
      <c r="B247" s="131" t="s">
        <v>316</v>
      </c>
      <c r="C247" s="157" t="s">
        <v>1031</v>
      </c>
      <c r="D247" s="164" t="s">
        <v>1032</v>
      </c>
      <c r="E247" s="187" t="s">
        <v>942</v>
      </c>
      <c r="F247" s="164" t="s">
        <v>1032</v>
      </c>
      <c r="G247" s="137"/>
      <c r="H247" s="145" t="s">
        <v>659</v>
      </c>
      <c r="I247" s="134" t="s">
        <v>375</v>
      </c>
      <c r="J247" s="134" t="e">
        <f>#REF!</f>
        <v>#REF!</v>
      </c>
      <c r="K247" s="134" t="e">
        <f>#REF!</f>
        <v>#REF!</v>
      </c>
      <c r="L247" s="134" t="e">
        <f>#REF!</f>
        <v>#REF!</v>
      </c>
      <c r="M247" s="134" t="e">
        <f t="shared" ref="M247" si="160">IF(OR(L247&gt;6), "Non-acceptable","Acceptable")</f>
        <v>#REF!</v>
      </c>
      <c r="N247" s="45" t="s">
        <v>943</v>
      </c>
      <c r="O247" s="48" t="s">
        <v>285</v>
      </c>
      <c r="P247" s="60"/>
      <c r="Q247" s="131" t="e">
        <f>#REF!</f>
        <v>#REF!</v>
      </c>
      <c r="R247" s="131" t="e">
        <f>#REF!</f>
        <v>#REF!</v>
      </c>
      <c r="S247" s="131" t="e">
        <f>#REF!</f>
        <v>#REF!</v>
      </c>
      <c r="T247" s="131" t="e">
        <f t="shared" ref="T247" si="161">IF(OR(S247&gt;6), "Non-acceptable","Acceptable")</f>
        <v>#REF!</v>
      </c>
      <c r="U247" s="150" t="s">
        <v>742</v>
      </c>
      <c r="V247" s="131" t="s">
        <v>724</v>
      </c>
      <c r="W247" s="131" t="s">
        <v>725</v>
      </c>
      <c r="X247" s="131" t="s">
        <v>726</v>
      </c>
    </row>
    <row r="248" spans="1:24" ht="78.75" customHeight="1">
      <c r="A248" s="141"/>
      <c r="B248" s="132"/>
      <c r="C248" s="163"/>
      <c r="D248" s="165"/>
      <c r="E248" s="187"/>
      <c r="F248" s="165"/>
      <c r="G248" s="138"/>
      <c r="H248" s="154"/>
      <c r="I248" s="134"/>
      <c r="J248" s="134"/>
      <c r="K248" s="134"/>
      <c r="L248" s="134"/>
      <c r="M248" s="134"/>
      <c r="N248" s="45" t="s">
        <v>944</v>
      </c>
      <c r="O248" s="40" t="s">
        <v>561</v>
      </c>
      <c r="P248" s="46" t="s">
        <v>562</v>
      </c>
      <c r="Q248" s="132"/>
      <c r="R248" s="132"/>
      <c r="S248" s="132"/>
      <c r="T248" s="132"/>
      <c r="U248" s="160"/>
      <c r="V248" s="132"/>
      <c r="W248" s="132"/>
      <c r="X248" s="132"/>
    </row>
    <row r="249" spans="1:24" ht="33.75" customHeight="1">
      <c r="A249" s="141"/>
      <c r="B249" s="133"/>
      <c r="C249" s="163"/>
      <c r="D249" s="165"/>
      <c r="E249" s="187"/>
      <c r="F249" s="165"/>
      <c r="G249" s="139"/>
      <c r="H249" s="155"/>
      <c r="I249" s="134"/>
      <c r="J249" s="134"/>
      <c r="K249" s="134"/>
      <c r="L249" s="134"/>
      <c r="M249" s="134"/>
      <c r="N249" s="45" t="s">
        <v>945</v>
      </c>
      <c r="O249" s="48" t="s">
        <v>284</v>
      </c>
      <c r="P249" s="41"/>
      <c r="Q249" s="133"/>
      <c r="R249" s="133"/>
      <c r="S249" s="133"/>
      <c r="T249" s="133"/>
      <c r="U249" s="161"/>
      <c r="V249" s="133"/>
      <c r="W249" s="133"/>
      <c r="X249" s="133"/>
    </row>
    <row r="250" spans="1:24" ht="39.75" customHeight="1">
      <c r="A250" s="142">
        <v>83</v>
      </c>
      <c r="B250" s="131" t="s">
        <v>316</v>
      </c>
      <c r="C250" s="157" t="s">
        <v>1031</v>
      </c>
      <c r="D250" s="135" t="s">
        <v>660</v>
      </c>
      <c r="E250" s="141" t="s">
        <v>716</v>
      </c>
      <c r="F250" s="135" t="s">
        <v>660</v>
      </c>
      <c r="G250" s="137"/>
      <c r="H250" s="145" t="s">
        <v>661</v>
      </c>
      <c r="I250" s="134" t="s">
        <v>375</v>
      </c>
      <c r="J250" s="134" t="e">
        <f>#REF!</f>
        <v>#REF!</v>
      </c>
      <c r="K250" s="134" t="e">
        <f>#REF!</f>
        <v>#REF!</v>
      </c>
      <c r="L250" s="134" t="e">
        <f>#REF!</f>
        <v>#REF!</v>
      </c>
      <c r="M250" s="134" t="e">
        <f t="shared" ref="M250" si="162">IF(OR(L250&gt;6), "Non-acceptable","Acceptable")</f>
        <v>#REF!</v>
      </c>
      <c r="N250" s="51" t="s">
        <v>37</v>
      </c>
      <c r="O250" s="40" t="s">
        <v>285</v>
      </c>
      <c r="P250" s="60"/>
      <c r="Q250" s="131" t="e">
        <f>#REF!</f>
        <v>#REF!</v>
      </c>
      <c r="R250" s="131" t="e">
        <f>#REF!</f>
        <v>#REF!</v>
      </c>
      <c r="S250" s="131" t="e">
        <f>#REF!</f>
        <v>#REF!</v>
      </c>
      <c r="T250" s="131" t="e">
        <f t="shared" ref="T250" si="163">IF(OR(S250&gt;6), "Non-acceptable","Acceptable")</f>
        <v>#REF!</v>
      </c>
      <c r="U250" s="150" t="s">
        <v>742</v>
      </c>
      <c r="V250" s="131" t="s">
        <v>724</v>
      </c>
      <c r="W250" s="131" t="s">
        <v>725</v>
      </c>
      <c r="X250" s="131" t="s">
        <v>726</v>
      </c>
    </row>
    <row r="251" spans="1:24" ht="109.5" customHeight="1">
      <c r="A251" s="141"/>
      <c r="B251" s="132"/>
      <c r="C251" s="163"/>
      <c r="D251" s="136"/>
      <c r="E251" s="141"/>
      <c r="F251" s="136"/>
      <c r="G251" s="138"/>
      <c r="H251" s="154"/>
      <c r="I251" s="134"/>
      <c r="J251" s="134"/>
      <c r="K251" s="134"/>
      <c r="L251" s="134"/>
      <c r="M251" s="134"/>
      <c r="N251" s="51" t="s">
        <v>38</v>
      </c>
      <c r="O251" s="40" t="s">
        <v>563</v>
      </c>
      <c r="P251" s="40" t="s">
        <v>946</v>
      </c>
      <c r="Q251" s="132"/>
      <c r="R251" s="132"/>
      <c r="S251" s="132"/>
      <c r="T251" s="132"/>
      <c r="U251" s="160"/>
      <c r="V251" s="132"/>
      <c r="W251" s="132"/>
      <c r="X251" s="132"/>
    </row>
    <row r="252" spans="1:24" ht="37.5" customHeight="1">
      <c r="A252" s="141"/>
      <c r="B252" s="133"/>
      <c r="C252" s="163"/>
      <c r="D252" s="136"/>
      <c r="E252" s="141"/>
      <c r="F252" s="136"/>
      <c r="G252" s="139"/>
      <c r="H252" s="155"/>
      <c r="I252" s="134"/>
      <c r="J252" s="134"/>
      <c r="K252" s="134"/>
      <c r="L252" s="134"/>
      <c r="M252" s="134"/>
      <c r="N252" s="51" t="s">
        <v>39</v>
      </c>
      <c r="O252" s="48" t="s">
        <v>284</v>
      </c>
      <c r="P252" s="41"/>
      <c r="Q252" s="133"/>
      <c r="R252" s="133"/>
      <c r="S252" s="133"/>
      <c r="T252" s="133"/>
      <c r="U252" s="161"/>
      <c r="V252" s="133"/>
      <c r="W252" s="133"/>
      <c r="X252" s="133"/>
    </row>
    <row r="253" spans="1:24" ht="45" customHeight="1">
      <c r="A253" s="142">
        <v>84</v>
      </c>
      <c r="B253" s="131" t="s">
        <v>462</v>
      </c>
      <c r="C253" s="157" t="s">
        <v>1031</v>
      </c>
      <c r="D253" s="135" t="s">
        <v>662</v>
      </c>
      <c r="E253" s="141" t="s">
        <v>716</v>
      </c>
      <c r="F253" s="135" t="s">
        <v>662</v>
      </c>
      <c r="G253" s="137"/>
      <c r="H253" s="145" t="s">
        <v>627</v>
      </c>
      <c r="I253" s="134" t="s">
        <v>375</v>
      </c>
      <c r="J253" s="134" t="e">
        <f>#REF!</f>
        <v>#REF!</v>
      </c>
      <c r="K253" s="134" t="e">
        <f>#REF!</f>
        <v>#REF!</v>
      </c>
      <c r="L253" s="134" t="e">
        <f>#REF!</f>
        <v>#REF!</v>
      </c>
      <c r="M253" s="134" t="e">
        <f t="shared" ref="M253" si="164">IF(OR(L253&gt;6), "Non-acceptable","Acceptable")</f>
        <v>#REF!</v>
      </c>
      <c r="N253" s="51" t="s">
        <v>37</v>
      </c>
      <c r="O253" s="40" t="s">
        <v>285</v>
      </c>
      <c r="P253" s="40" t="s">
        <v>189</v>
      </c>
      <c r="Q253" s="131" t="e">
        <f>#REF!</f>
        <v>#REF!</v>
      </c>
      <c r="R253" s="131" t="e">
        <f>#REF!</f>
        <v>#REF!</v>
      </c>
      <c r="S253" s="131" t="e">
        <f>#REF!</f>
        <v>#REF!</v>
      </c>
      <c r="T253" s="131" t="e">
        <f t="shared" ref="T253" si="165">IF(OR(S253&gt;6), "Non-acceptable","Acceptable")</f>
        <v>#REF!</v>
      </c>
      <c r="U253" s="150" t="s">
        <v>742</v>
      </c>
      <c r="V253" s="131" t="s">
        <v>724</v>
      </c>
      <c r="W253" s="131" t="s">
        <v>725</v>
      </c>
      <c r="X253" s="131" t="s">
        <v>726</v>
      </c>
    </row>
    <row r="254" spans="1:24" ht="48.75" customHeight="1">
      <c r="A254" s="141"/>
      <c r="B254" s="132"/>
      <c r="C254" s="163"/>
      <c r="D254" s="136"/>
      <c r="E254" s="141"/>
      <c r="F254" s="136"/>
      <c r="G254" s="138"/>
      <c r="H254" s="154"/>
      <c r="I254" s="134"/>
      <c r="J254" s="134"/>
      <c r="K254" s="134"/>
      <c r="L254" s="134"/>
      <c r="M254" s="134"/>
      <c r="N254" s="51" t="s">
        <v>38</v>
      </c>
      <c r="O254" s="40" t="s">
        <v>947</v>
      </c>
      <c r="P254" s="40" t="s">
        <v>948</v>
      </c>
      <c r="Q254" s="132"/>
      <c r="R254" s="132"/>
      <c r="S254" s="132"/>
      <c r="T254" s="132"/>
      <c r="U254" s="160"/>
      <c r="V254" s="132"/>
      <c r="W254" s="132"/>
      <c r="X254" s="132"/>
    </row>
    <row r="255" spans="1:24" ht="40.5" customHeight="1">
      <c r="A255" s="141"/>
      <c r="B255" s="133"/>
      <c r="C255" s="163"/>
      <c r="D255" s="136"/>
      <c r="E255" s="141"/>
      <c r="F255" s="136"/>
      <c r="G255" s="139"/>
      <c r="H255" s="155"/>
      <c r="I255" s="134"/>
      <c r="J255" s="134"/>
      <c r="K255" s="134"/>
      <c r="L255" s="134"/>
      <c r="M255" s="134"/>
      <c r="N255" s="51" t="s">
        <v>39</v>
      </c>
      <c r="O255" s="48" t="s">
        <v>284</v>
      </c>
      <c r="P255" s="41"/>
      <c r="Q255" s="133"/>
      <c r="R255" s="133"/>
      <c r="S255" s="133"/>
      <c r="T255" s="133"/>
      <c r="U255" s="161"/>
      <c r="V255" s="133"/>
      <c r="W255" s="133"/>
      <c r="X255" s="133"/>
    </row>
    <row r="256" spans="1:24" ht="38.25" customHeight="1">
      <c r="A256" s="142">
        <v>85</v>
      </c>
      <c r="B256" s="131" t="s">
        <v>463</v>
      </c>
      <c r="C256" s="143" t="s">
        <v>1010</v>
      </c>
      <c r="D256" s="135" t="s">
        <v>949</v>
      </c>
      <c r="E256" s="141" t="s">
        <v>716</v>
      </c>
      <c r="F256" s="135" t="s">
        <v>949</v>
      </c>
      <c r="G256" s="137"/>
      <c r="H256" s="135" t="s">
        <v>663</v>
      </c>
      <c r="I256" s="134" t="s">
        <v>86</v>
      </c>
      <c r="J256" s="134" t="e">
        <f>#REF!</f>
        <v>#REF!</v>
      </c>
      <c r="K256" s="134" t="e">
        <f>#REF!</f>
        <v>#REF!</v>
      </c>
      <c r="L256" s="134" t="e">
        <f>#REF!</f>
        <v>#REF!</v>
      </c>
      <c r="M256" s="134" t="e">
        <f t="shared" ref="M256" si="166">IF(OR(L256&gt;6), "Non-acceptable","Acceptable")</f>
        <v>#REF!</v>
      </c>
      <c r="N256" s="51" t="s">
        <v>37</v>
      </c>
      <c r="O256" s="48" t="s">
        <v>564</v>
      </c>
      <c r="P256" s="48" t="s">
        <v>565</v>
      </c>
      <c r="Q256" s="131" t="e">
        <f>#REF!</f>
        <v>#REF!</v>
      </c>
      <c r="R256" s="131" t="e">
        <f>#REF!</f>
        <v>#REF!</v>
      </c>
      <c r="S256" s="131" t="e">
        <f>#REF!</f>
        <v>#REF!</v>
      </c>
      <c r="T256" s="131" t="e">
        <f t="shared" ref="T256" si="167">IF(OR(S256&gt;6), "Non-acceptable","Acceptable")</f>
        <v>#REF!</v>
      </c>
      <c r="U256" s="159" t="s">
        <v>758</v>
      </c>
      <c r="V256" s="131" t="s">
        <v>724</v>
      </c>
      <c r="W256" s="131" t="s">
        <v>725</v>
      </c>
      <c r="X256" s="131" t="s">
        <v>726</v>
      </c>
    </row>
    <row r="257" spans="1:24" ht="49.5" customHeight="1">
      <c r="A257" s="141"/>
      <c r="B257" s="132"/>
      <c r="C257" s="141"/>
      <c r="D257" s="136"/>
      <c r="E257" s="141"/>
      <c r="F257" s="136"/>
      <c r="G257" s="138"/>
      <c r="H257" s="136"/>
      <c r="I257" s="134"/>
      <c r="J257" s="134"/>
      <c r="K257" s="134"/>
      <c r="L257" s="134"/>
      <c r="M257" s="134"/>
      <c r="N257" s="51" t="s">
        <v>38</v>
      </c>
      <c r="O257" s="48" t="s">
        <v>950</v>
      </c>
      <c r="P257" s="48" t="s">
        <v>951</v>
      </c>
      <c r="Q257" s="132"/>
      <c r="R257" s="132"/>
      <c r="S257" s="132"/>
      <c r="T257" s="132"/>
      <c r="U257" s="160"/>
      <c r="V257" s="132"/>
      <c r="W257" s="132"/>
      <c r="X257" s="132"/>
    </row>
    <row r="258" spans="1:24" ht="177" customHeight="1">
      <c r="A258" s="141"/>
      <c r="B258" s="133"/>
      <c r="C258" s="141"/>
      <c r="D258" s="136"/>
      <c r="E258" s="141"/>
      <c r="F258" s="136"/>
      <c r="G258" s="139"/>
      <c r="H258" s="136"/>
      <c r="I258" s="134"/>
      <c r="J258" s="134"/>
      <c r="K258" s="134"/>
      <c r="L258" s="134"/>
      <c r="M258" s="134"/>
      <c r="N258" s="51" t="s">
        <v>39</v>
      </c>
      <c r="O258" s="40" t="s">
        <v>952</v>
      </c>
      <c r="P258" s="40" t="s">
        <v>953</v>
      </c>
      <c r="Q258" s="133"/>
      <c r="R258" s="133"/>
      <c r="S258" s="133"/>
      <c r="T258" s="133"/>
      <c r="U258" s="161"/>
      <c r="V258" s="133"/>
      <c r="W258" s="133"/>
      <c r="X258" s="133"/>
    </row>
    <row r="259" spans="1:24" ht="42.75" customHeight="1">
      <c r="A259" s="142">
        <v>86</v>
      </c>
      <c r="B259" s="131" t="s">
        <v>464</v>
      </c>
      <c r="C259" s="143" t="s">
        <v>322</v>
      </c>
      <c r="D259" s="135" t="s">
        <v>954</v>
      </c>
      <c r="E259" s="141" t="s">
        <v>716</v>
      </c>
      <c r="F259" s="135" t="s">
        <v>954</v>
      </c>
      <c r="G259" s="137"/>
      <c r="H259" s="135" t="s">
        <v>663</v>
      </c>
      <c r="I259" s="134" t="s">
        <v>86</v>
      </c>
      <c r="J259" s="134" t="e">
        <f>#REF!</f>
        <v>#REF!</v>
      </c>
      <c r="K259" s="134" t="e">
        <f>#REF!</f>
        <v>#REF!</v>
      </c>
      <c r="L259" s="134" t="e">
        <f>#REF!</f>
        <v>#REF!</v>
      </c>
      <c r="M259" s="134" t="e">
        <f t="shared" ref="M259" si="168">IF(OR(L259&gt;6), "Non-acceptable","Acceptable")</f>
        <v>#REF!</v>
      </c>
      <c r="N259" s="51" t="s">
        <v>37</v>
      </c>
      <c r="O259" s="48" t="s">
        <v>285</v>
      </c>
      <c r="P259" s="48"/>
      <c r="Q259" s="131" t="e">
        <f>#REF!</f>
        <v>#REF!</v>
      </c>
      <c r="R259" s="131" t="e">
        <f>#REF!</f>
        <v>#REF!</v>
      </c>
      <c r="S259" s="131" t="e">
        <f>#REF!</f>
        <v>#REF!</v>
      </c>
      <c r="T259" s="131" t="e">
        <f t="shared" ref="T259" si="169">IF(OR(S259&gt;6), "Non-acceptable","Acceptable")</f>
        <v>#REF!</v>
      </c>
      <c r="U259" s="159" t="s">
        <v>759</v>
      </c>
      <c r="V259" s="131" t="s">
        <v>724</v>
      </c>
      <c r="W259" s="131" t="s">
        <v>725</v>
      </c>
      <c r="X259" s="131" t="s">
        <v>726</v>
      </c>
    </row>
    <row r="260" spans="1:24" ht="69" customHeight="1">
      <c r="A260" s="141"/>
      <c r="B260" s="132"/>
      <c r="C260" s="141"/>
      <c r="D260" s="136"/>
      <c r="E260" s="141"/>
      <c r="F260" s="136"/>
      <c r="G260" s="138"/>
      <c r="H260" s="136"/>
      <c r="I260" s="134"/>
      <c r="J260" s="134"/>
      <c r="K260" s="134"/>
      <c r="L260" s="134"/>
      <c r="M260" s="134"/>
      <c r="N260" s="51" t="s">
        <v>38</v>
      </c>
      <c r="O260" s="40" t="s">
        <v>567</v>
      </c>
      <c r="P260" s="40" t="s">
        <v>566</v>
      </c>
      <c r="Q260" s="132"/>
      <c r="R260" s="132"/>
      <c r="S260" s="132"/>
      <c r="T260" s="132"/>
      <c r="U260" s="160"/>
      <c r="V260" s="132"/>
      <c r="W260" s="132"/>
      <c r="X260" s="132"/>
    </row>
    <row r="261" spans="1:24" ht="167.25" customHeight="1">
      <c r="A261" s="141"/>
      <c r="B261" s="133"/>
      <c r="C261" s="141"/>
      <c r="D261" s="136"/>
      <c r="E261" s="141"/>
      <c r="F261" s="136"/>
      <c r="G261" s="139"/>
      <c r="H261" s="136"/>
      <c r="I261" s="134"/>
      <c r="J261" s="134"/>
      <c r="K261" s="134"/>
      <c r="L261" s="134"/>
      <c r="M261" s="134"/>
      <c r="N261" s="51" t="s">
        <v>39</v>
      </c>
      <c r="O261" s="40" t="s">
        <v>955</v>
      </c>
      <c r="P261" s="40" t="s">
        <v>956</v>
      </c>
      <c r="Q261" s="133"/>
      <c r="R261" s="133"/>
      <c r="S261" s="133"/>
      <c r="T261" s="133"/>
      <c r="U261" s="161"/>
      <c r="V261" s="133"/>
      <c r="W261" s="133"/>
      <c r="X261" s="133"/>
    </row>
    <row r="262" spans="1:24" ht="45.75" customHeight="1">
      <c r="A262" s="142">
        <v>87</v>
      </c>
      <c r="B262" s="131" t="s">
        <v>464</v>
      </c>
      <c r="C262" s="143" t="s">
        <v>1010</v>
      </c>
      <c r="D262" s="135" t="s">
        <v>483</v>
      </c>
      <c r="E262" s="141" t="s">
        <v>716</v>
      </c>
      <c r="F262" s="135" t="s">
        <v>483</v>
      </c>
      <c r="G262" s="137"/>
      <c r="H262" s="135" t="s">
        <v>663</v>
      </c>
      <c r="I262" s="134" t="s">
        <v>86</v>
      </c>
      <c r="J262" s="134" t="e">
        <f>#REF!</f>
        <v>#REF!</v>
      </c>
      <c r="K262" s="134" t="e">
        <f>#REF!</f>
        <v>#REF!</v>
      </c>
      <c r="L262" s="134" t="e">
        <f>#REF!</f>
        <v>#REF!</v>
      </c>
      <c r="M262" s="134" t="e">
        <f t="shared" ref="M262" si="170">IF(OR(L262&gt;6), "Non-acceptable","Acceptable")</f>
        <v>#REF!</v>
      </c>
      <c r="N262" s="51" t="s">
        <v>37</v>
      </c>
      <c r="O262" s="48" t="s">
        <v>545</v>
      </c>
      <c r="P262" s="48"/>
      <c r="Q262" s="131" t="e">
        <f>#REF!</f>
        <v>#REF!</v>
      </c>
      <c r="R262" s="131" t="e">
        <f>#REF!</f>
        <v>#REF!</v>
      </c>
      <c r="S262" s="131" t="e">
        <f>#REF!</f>
        <v>#REF!</v>
      </c>
      <c r="T262" s="131" t="e">
        <f t="shared" ref="T262" si="171">IF(OR(S262&gt;6), "Non-acceptable","Acceptable")</f>
        <v>#REF!</v>
      </c>
      <c r="U262" s="159" t="s">
        <v>759</v>
      </c>
      <c r="V262" s="131" t="s">
        <v>724</v>
      </c>
      <c r="W262" s="131" t="s">
        <v>725</v>
      </c>
      <c r="X262" s="131" t="s">
        <v>726</v>
      </c>
    </row>
    <row r="263" spans="1:24" ht="90.75" customHeight="1">
      <c r="A263" s="141"/>
      <c r="B263" s="132"/>
      <c r="C263" s="141"/>
      <c r="D263" s="136"/>
      <c r="E263" s="141"/>
      <c r="F263" s="136"/>
      <c r="G263" s="138"/>
      <c r="H263" s="136"/>
      <c r="I263" s="134"/>
      <c r="J263" s="134"/>
      <c r="K263" s="134"/>
      <c r="L263" s="134"/>
      <c r="M263" s="134"/>
      <c r="N263" s="51" t="s">
        <v>38</v>
      </c>
      <c r="O263" s="40" t="s">
        <v>568</v>
      </c>
      <c r="P263" s="40" t="s">
        <v>558</v>
      </c>
      <c r="Q263" s="132"/>
      <c r="R263" s="132"/>
      <c r="S263" s="132"/>
      <c r="T263" s="132"/>
      <c r="U263" s="160"/>
      <c r="V263" s="132"/>
      <c r="W263" s="132"/>
      <c r="X263" s="132"/>
    </row>
    <row r="264" spans="1:24" ht="165" customHeight="1">
      <c r="A264" s="141"/>
      <c r="B264" s="133"/>
      <c r="C264" s="141"/>
      <c r="D264" s="136"/>
      <c r="E264" s="141"/>
      <c r="F264" s="136"/>
      <c r="G264" s="139"/>
      <c r="H264" s="136"/>
      <c r="I264" s="134"/>
      <c r="J264" s="134"/>
      <c r="K264" s="134"/>
      <c r="L264" s="134"/>
      <c r="M264" s="134"/>
      <c r="N264" s="51" t="s">
        <v>39</v>
      </c>
      <c r="O264" s="40" t="s">
        <v>955</v>
      </c>
      <c r="P264" s="40" t="s">
        <v>956</v>
      </c>
      <c r="Q264" s="133"/>
      <c r="R264" s="133"/>
      <c r="S264" s="133"/>
      <c r="T264" s="133"/>
      <c r="U264" s="161"/>
      <c r="V264" s="133"/>
      <c r="W264" s="133"/>
      <c r="X264" s="133"/>
    </row>
    <row r="265" spans="1:24" ht="42.75" customHeight="1">
      <c r="A265" s="142">
        <v>88</v>
      </c>
      <c r="B265" s="131" t="s">
        <v>464</v>
      </c>
      <c r="C265" s="143" t="s">
        <v>1017</v>
      </c>
      <c r="D265" s="135" t="s">
        <v>957</v>
      </c>
      <c r="E265" s="141" t="s">
        <v>716</v>
      </c>
      <c r="F265" s="135" t="s">
        <v>957</v>
      </c>
      <c r="G265" s="137"/>
      <c r="H265" s="135" t="s">
        <v>663</v>
      </c>
      <c r="I265" s="134" t="s">
        <v>86</v>
      </c>
      <c r="J265" s="134" t="e">
        <f>#REF!</f>
        <v>#REF!</v>
      </c>
      <c r="K265" s="134" t="e">
        <f>#REF!</f>
        <v>#REF!</v>
      </c>
      <c r="L265" s="134" t="e">
        <f>#REF!</f>
        <v>#REF!</v>
      </c>
      <c r="M265" s="134" t="e">
        <f t="shared" ref="M265" si="172">IF(OR(L265&gt;6), "Non-acceptable","Acceptable")</f>
        <v>#REF!</v>
      </c>
      <c r="N265" s="51" t="s">
        <v>37</v>
      </c>
      <c r="O265" s="48" t="s">
        <v>270</v>
      </c>
      <c r="P265" s="40"/>
      <c r="Q265" s="131" t="e">
        <f>#REF!</f>
        <v>#REF!</v>
      </c>
      <c r="R265" s="131" t="e">
        <f>#REF!</f>
        <v>#REF!</v>
      </c>
      <c r="S265" s="131" t="e">
        <f>#REF!</f>
        <v>#REF!</v>
      </c>
      <c r="T265" s="131" t="e">
        <f t="shared" ref="T265" si="173">IF(OR(S265&gt;6), "Non-acceptable","Acceptable")</f>
        <v>#REF!</v>
      </c>
      <c r="U265" s="159" t="s">
        <v>760</v>
      </c>
      <c r="V265" s="131" t="s">
        <v>724</v>
      </c>
      <c r="W265" s="131" t="s">
        <v>725</v>
      </c>
      <c r="X265" s="131" t="s">
        <v>726</v>
      </c>
    </row>
    <row r="266" spans="1:24" ht="36.75" customHeight="1">
      <c r="A266" s="141"/>
      <c r="B266" s="132"/>
      <c r="C266" s="141"/>
      <c r="D266" s="135"/>
      <c r="E266" s="141"/>
      <c r="F266" s="135"/>
      <c r="G266" s="138"/>
      <c r="H266" s="136"/>
      <c r="I266" s="134"/>
      <c r="J266" s="134"/>
      <c r="K266" s="134"/>
      <c r="L266" s="134"/>
      <c r="M266" s="134"/>
      <c r="N266" s="51" t="s">
        <v>38</v>
      </c>
      <c r="O266" s="48" t="s">
        <v>272</v>
      </c>
      <c r="P266" s="40"/>
      <c r="Q266" s="132"/>
      <c r="R266" s="132"/>
      <c r="S266" s="132"/>
      <c r="T266" s="132"/>
      <c r="U266" s="160"/>
      <c r="V266" s="132"/>
      <c r="W266" s="132"/>
      <c r="X266" s="132"/>
    </row>
    <row r="267" spans="1:24" ht="168" customHeight="1">
      <c r="A267" s="141"/>
      <c r="B267" s="133"/>
      <c r="C267" s="141"/>
      <c r="D267" s="135"/>
      <c r="E267" s="141"/>
      <c r="F267" s="135"/>
      <c r="G267" s="139"/>
      <c r="H267" s="136"/>
      <c r="I267" s="134"/>
      <c r="J267" s="134"/>
      <c r="K267" s="134"/>
      <c r="L267" s="134"/>
      <c r="M267" s="134"/>
      <c r="N267" s="51" t="s">
        <v>39</v>
      </c>
      <c r="O267" s="40" t="s">
        <v>958</v>
      </c>
      <c r="P267" s="40" t="s">
        <v>953</v>
      </c>
      <c r="Q267" s="133"/>
      <c r="R267" s="133"/>
      <c r="S267" s="133"/>
      <c r="T267" s="133"/>
      <c r="U267" s="161"/>
      <c r="V267" s="133"/>
      <c r="W267" s="133"/>
      <c r="X267" s="133"/>
    </row>
    <row r="268" spans="1:24" ht="41.25" customHeight="1">
      <c r="A268" s="142">
        <v>89</v>
      </c>
      <c r="B268" s="134" t="s">
        <v>281</v>
      </c>
      <c r="C268" s="148" t="s">
        <v>1018</v>
      </c>
      <c r="D268" s="135" t="s">
        <v>665</v>
      </c>
      <c r="E268" s="134" t="s">
        <v>716</v>
      </c>
      <c r="F268" s="135" t="s">
        <v>665</v>
      </c>
      <c r="G268" s="137"/>
      <c r="H268" s="135" t="s">
        <v>664</v>
      </c>
      <c r="I268" s="134" t="s">
        <v>364</v>
      </c>
      <c r="J268" s="134" t="e">
        <f>#REF!</f>
        <v>#REF!</v>
      </c>
      <c r="K268" s="134" t="e">
        <f>#REF!</f>
        <v>#REF!</v>
      </c>
      <c r="L268" s="134" t="e">
        <f>#REF!</f>
        <v>#REF!</v>
      </c>
      <c r="M268" s="134" t="e">
        <f t="shared" ref="M268" si="174">IF(OR(L268&gt;6), "Non-acceptable","Acceptable")</f>
        <v>#REF!</v>
      </c>
      <c r="N268" s="51" t="s">
        <v>37</v>
      </c>
      <c r="O268" s="48" t="s">
        <v>278</v>
      </c>
      <c r="P268" s="42"/>
      <c r="Q268" s="131" t="e">
        <f>#REF!</f>
        <v>#REF!</v>
      </c>
      <c r="R268" s="131" t="e">
        <f>#REF!</f>
        <v>#REF!</v>
      </c>
      <c r="S268" s="131" t="e">
        <f>#REF!</f>
        <v>#REF!</v>
      </c>
      <c r="T268" s="131" t="e">
        <f t="shared" ref="T268" si="175">IF(OR(S268&gt;6), "Non-acceptable","Acceptable")</f>
        <v>#REF!</v>
      </c>
      <c r="U268" s="159" t="s">
        <v>761</v>
      </c>
      <c r="V268" s="131" t="s">
        <v>724</v>
      </c>
      <c r="W268" s="131" t="s">
        <v>725</v>
      </c>
      <c r="X268" s="131" t="s">
        <v>726</v>
      </c>
    </row>
    <row r="269" spans="1:24" ht="63.75" customHeight="1">
      <c r="A269" s="141"/>
      <c r="B269" s="134"/>
      <c r="C269" s="132"/>
      <c r="D269" s="136"/>
      <c r="E269" s="141"/>
      <c r="F269" s="136"/>
      <c r="G269" s="138"/>
      <c r="H269" s="136"/>
      <c r="I269" s="134"/>
      <c r="J269" s="134"/>
      <c r="K269" s="134"/>
      <c r="L269" s="134"/>
      <c r="M269" s="134"/>
      <c r="N269" s="51" t="s">
        <v>38</v>
      </c>
      <c r="O269" s="40" t="s">
        <v>365</v>
      </c>
      <c r="P269" s="40" t="s">
        <v>366</v>
      </c>
      <c r="Q269" s="132"/>
      <c r="R269" s="132"/>
      <c r="S269" s="132"/>
      <c r="T269" s="132"/>
      <c r="U269" s="160"/>
      <c r="V269" s="132"/>
      <c r="W269" s="132"/>
      <c r="X269" s="132"/>
    </row>
    <row r="270" spans="1:24" ht="200.25" customHeight="1">
      <c r="A270" s="141"/>
      <c r="B270" s="134"/>
      <c r="C270" s="133"/>
      <c r="D270" s="136"/>
      <c r="E270" s="141"/>
      <c r="F270" s="136"/>
      <c r="G270" s="139"/>
      <c r="H270" s="136"/>
      <c r="I270" s="134"/>
      <c r="J270" s="134"/>
      <c r="K270" s="134"/>
      <c r="L270" s="134"/>
      <c r="M270" s="134"/>
      <c r="N270" s="51" t="s">
        <v>39</v>
      </c>
      <c r="O270" s="40" t="s">
        <v>1033</v>
      </c>
      <c r="P270" s="40" t="s">
        <v>367</v>
      </c>
      <c r="Q270" s="133"/>
      <c r="R270" s="133"/>
      <c r="S270" s="133"/>
      <c r="T270" s="133"/>
      <c r="U270" s="161"/>
      <c r="V270" s="133"/>
      <c r="W270" s="133"/>
      <c r="X270" s="133"/>
    </row>
    <row r="271" spans="1:24" ht="39.75" customHeight="1">
      <c r="A271" s="142">
        <v>90</v>
      </c>
      <c r="B271" s="134" t="s">
        <v>465</v>
      </c>
      <c r="C271" s="148" t="s">
        <v>1018</v>
      </c>
      <c r="D271" s="135" t="s">
        <v>666</v>
      </c>
      <c r="E271" s="134" t="s">
        <v>716</v>
      </c>
      <c r="F271" s="135" t="s">
        <v>666</v>
      </c>
      <c r="G271" s="137"/>
      <c r="H271" s="135" t="s">
        <v>664</v>
      </c>
      <c r="I271" s="134" t="s">
        <v>364</v>
      </c>
      <c r="J271" s="134" t="e">
        <f>#REF!</f>
        <v>#REF!</v>
      </c>
      <c r="K271" s="134" t="e">
        <f>#REF!</f>
        <v>#REF!</v>
      </c>
      <c r="L271" s="134" t="e">
        <f>#REF!</f>
        <v>#REF!</v>
      </c>
      <c r="M271" s="134" t="e">
        <f t="shared" ref="M271" si="176">IF(OR(L271&gt;6), "Non-acceptable","Acceptable")</f>
        <v>#REF!</v>
      </c>
      <c r="N271" s="51" t="s">
        <v>37</v>
      </c>
      <c r="O271" s="48" t="s">
        <v>278</v>
      </c>
      <c r="P271" s="42"/>
      <c r="Q271" s="131" t="e">
        <f>#REF!</f>
        <v>#REF!</v>
      </c>
      <c r="R271" s="131" t="e">
        <f>#REF!</f>
        <v>#REF!</v>
      </c>
      <c r="S271" s="131" t="e">
        <f>#REF!</f>
        <v>#REF!</v>
      </c>
      <c r="T271" s="131" t="e">
        <f t="shared" ref="T271" si="177">IF(OR(S271&gt;6), "Non-acceptable","Acceptable")</f>
        <v>#REF!</v>
      </c>
      <c r="U271" s="159" t="s">
        <v>762</v>
      </c>
      <c r="V271" s="131" t="s">
        <v>724</v>
      </c>
      <c r="W271" s="131" t="s">
        <v>725</v>
      </c>
      <c r="X271" s="131" t="s">
        <v>726</v>
      </c>
    </row>
    <row r="272" spans="1:24" ht="65.25" customHeight="1">
      <c r="A272" s="141"/>
      <c r="B272" s="134"/>
      <c r="C272" s="132"/>
      <c r="D272" s="136"/>
      <c r="E272" s="141"/>
      <c r="F272" s="136"/>
      <c r="G272" s="138"/>
      <c r="H272" s="136"/>
      <c r="I272" s="134"/>
      <c r="J272" s="134"/>
      <c r="K272" s="134"/>
      <c r="L272" s="134"/>
      <c r="M272" s="134"/>
      <c r="N272" s="51" t="s">
        <v>38</v>
      </c>
      <c r="O272" s="40" t="s">
        <v>569</v>
      </c>
      <c r="P272" s="40" t="s">
        <v>366</v>
      </c>
      <c r="Q272" s="132"/>
      <c r="R272" s="132"/>
      <c r="S272" s="132"/>
      <c r="T272" s="132"/>
      <c r="U272" s="160"/>
      <c r="V272" s="132"/>
      <c r="W272" s="132"/>
      <c r="X272" s="132"/>
    </row>
    <row r="273" spans="1:24" ht="131.25">
      <c r="A273" s="141"/>
      <c r="B273" s="134"/>
      <c r="C273" s="133"/>
      <c r="D273" s="136"/>
      <c r="E273" s="141"/>
      <c r="F273" s="136"/>
      <c r="G273" s="139"/>
      <c r="H273" s="136"/>
      <c r="I273" s="134"/>
      <c r="J273" s="134"/>
      <c r="K273" s="134"/>
      <c r="L273" s="134"/>
      <c r="M273" s="134"/>
      <c r="N273" s="51" t="s">
        <v>39</v>
      </c>
      <c r="O273" s="40" t="s">
        <v>1034</v>
      </c>
      <c r="P273" s="40" t="s">
        <v>367</v>
      </c>
      <c r="Q273" s="133"/>
      <c r="R273" s="133"/>
      <c r="S273" s="133"/>
      <c r="T273" s="133"/>
      <c r="U273" s="161"/>
      <c r="V273" s="133"/>
      <c r="W273" s="133"/>
      <c r="X273" s="133"/>
    </row>
    <row r="274" spans="1:24" ht="55.5" customHeight="1">
      <c r="A274" s="142">
        <v>91</v>
      </c>
      <c r="B274" s="131" t="s">
        <v>466</v>
      </c>
      <c r="C274" s="134" t="s">
        <v>1015</v>
      </c>
      <c r="D274" s="136" t="s">
        <v>667</v>
      </c>
      <c r="E274" s="141" t="s">
        <v>716</v>
      </c>
      <c r="F274" s="136" t="s">
        <v>667</v>
      </c>
      <c r="G274" s="137"/>
      <c r="H274" s="131" t="s">
        <v>321</v>
      </c>
      <c r="I274" s="131" t="s">
        <v>323</v>
      </c>
      <c r="J274" s="134" t="e">
        <f>#REF!</f>
        <v>#REF!</v>
      </c>
      <c r="K274" s="134" t="e">
        <f>#REF!</f>
        <v>#REF!</v>
      </c>
      <c r="L274" s="134" t="e">
        <f>#REF!</f>
        <v>#REF!</v>
      </c>
      <c r="M274" s="134" t="e">
        <f t="shared" ref="M274" si="178">IF(OR(L274&gt;6), "Non-acceptable","Acceptable")</f>
        <v>#REF!</v>
      </c>
      <c r="N274" s="51" t="s">
        <v>37</v>
      </c>
      <c r="O274" s="40" t="s">
        <v>959</v>
      </c>
      <c r="P274" s="40" t="s">
        <v>960</v>
      </c>
      <c r="Q274" s="131" t="e">
        <f>#REF!</f>
        <v>#REF!</v>
      </c>
      <c r="R274" s="131" t="e">
        <f>#REF!</f>
        <v>#REF!</v>
      </c>
      <c r="S274" s="131" t="e">
        <f>#REF!</f>
        <v>#REF!</v>
      </c>
      <c r="T274" s="131" t="e">
        <f t="shared" ref="T274" si="179">IF(OR(S274&gt;6), "Non-acceptable","Acceptable")</f>
        <v>#REF!</v>
      </c>
      <c r="U274" s="150" t="s">
        <v>742</v>
      </c>
      <c r="V274" s="131" t="s">
        <v>724</v>
      </c>
      <c r="W274" s="131" t="s">
        <v>725</v>
      </c>
      <c r="X274" s="131" t="s">
        <v>726</v>
      </c>
    </row>
    <row r="275" spans="1:24" ht="34.5" customHeight="1">
      <c r="A275" s="141"/>
      <c r="B275" s="132"/>
      <c r="C275" s="141"/>
      <c r="D275" s="136"/>
      <c r="E275" s="141"/>
      <c r="F275" s="136"/>
      <c r="G275" s="138"/>
      <c r="H275" s="132"/>
      <c r="I275" s="132"/>
      <c r="J275" s="134"/>
      <c r="K275" s="134"/>
      <c r="L275" s="134"/>
      <c r="M275" s="134"/>
      <c r="N275" s="51" t="s">
        <v>38</v>
      </c>
      <c r="O275" s="48" t="s">
        <v>572</v>
      </c>
      <c r="P275" s="48" t="s">
        <v>570</v>
      </c>
      <c r="Q275" s="132"/>
      <c r="R275" s="132"/>
      <c r="S275" s="132"/>
      <c r="T275" s="132"/>
      <c r="U275" s="160"/>
      <c r="V275" s="132"/>
      <c r="W275" s="132"/>
      <c r="X275" s="132"/>
    </row>
    <row r="276" spans="1:24" ht="36.75" customHeight="1">
      <c r="A276" s="141"/>
      <c r="B276" s="133"/>
      <c r="C276" s="141"/>
      <c r="D276" s="136"/>
      <c r="E276" s="141"/>
      <c r="F276" s="136"/>
      <c r="G276" s="139"/>
      <c r="H276" s="133"/>
      <c r="I276" s="133"/>
      <c r="J276" s="134"/>
      <c r="K276" s="134"/>
      <c r="L276" s="134"/>
      <c r="M276" s="134"/>
      <c r="N276" s="51" t="s">
        <v>39</v>
      </c>
      <c r="O276" s="48" t="s">
        <v>284</v>
      </c>
      <c r="P276" s="41"/>
      <c r="Q276" s="133"/>
      <c r="R276" s="133"/>
      <c r="S276" s="133"/>
      <c r="T276" s="133"/>
      <c r="U276" s="161"/>
      <c r="V276" s="133"/>
      <c r="W276" s="133"/>
      <c r="X276" s="133"/>
    </row>
    <row r="277" spans="1:24" ht="46.5" customHeight="1">
      <c r="A277" s="142">
        <v>92</v>
      </c>
      <c r="B277" s="134" t="s">
        <v>466</v>
      </c>
      <c r="C277" s="143" t="s">
        <v>1010</v>
      </c>
      <c r="D277" s="136" t="s">
        <v>668</v>
      </c>
      <c r="E277" s="141" t="s">
        <v>716</v>
      </c>
      <c r="F277" s="136" t="s">
        <v>668</v>
      </c>
      <c r="G277" s="137"/>
      <c r="H277" s="137" t="s">
        <v>324</v>
      </c>
      <c r="I277" s="134" t="s">
        <v>325</v>
      </c>
      <c r="J277" s="134" t="e">
        <f>#REF!</f>
        <v>#REF!</v>
      </c>
      <c r="K277" s="134" t="e">
        <f>#REF!</f>
        <v>#REF!</v>
      </c>
      <c r="L277" s="134" t="e">
        <f>#REF!</f>
        <v>#REF!</v>
      </c>
      <c r="M277" s="134" t="e">
        <f t="shared" ref="M277" si="180">IF(OR(L277&gt;6), "Non-acceptable","Acceptable")</f>
        <v>#REF!</v>
      </c>
      <c r="N277" s="51" t="s">
        <v>37</v>
      </c>
      <c r="O277" s="40" t="s">
        <v>961</v>
      </c>
      <c r="P277" s="40" t="s">
        <v>960</v>
      </c>
      <c r="Q277" s="131" t="e">
        <f>#REF!</f>
        <v>#REF!</v>
      </c>
      <c r="R277" s="131" t="e">
        <f>#REF!</f>
        <v>#REF!</v>
      </c>
      <c r="S277" s="131" t="e">
        <f>#REF!</f>
        <v>#REF!</v>
      </c>
      <c r="T277" s="131" t="e">
        <f t="shared" ref="T277" si="181">IF(OR(S277&gt;6), "Non-acceptable","Acceptable")</f>
        <v>#REF!</v>
      </c>
      <c r="U277" s="150" t="s">
        <v>742</v>
      </c>
      <c r="V277" s="131" t="s">
        <v>724</v>
      </c>
      <c r="W277" s="131" t="s">
        <v>725</v>
      </c>
      <c r="X277" s="131" t="s">
        <v>726</v>
      </c>
    </row>
    <row r="278" spans="1:24" ht="33.75" customHeight="1">
      <c r="A278" s="141"/>
      <c r="B278" s="134"/>
      <c r="C278" s="141"/>
      <c r="D278" s="136"/>
      <c r="E278" s="141"/>
      <c r="F278" s="136"/>
      <c r="G278" s="138"/>
      <c r="H278" s="132"/>
      <c r="I278" s="134"/>
      <c r="J278" s="134"/>
      <c r="K278" s="134"/>
      <c r="L278" s="134"/>
      <c r="M278" s="134"/>
      <c r="N278" s="51" t="s">
        <v>38</v>
      </c>
      <c r="O278" s="48" t="s">
        <v>571</v>
      </c>
      <c r="P278" s="48" t="s">
        <v>570</v>
      </c>
      <c r="Q278" s="132"/>
      <c r="R278" s="132"/>
      <c r="S278" s="132"/>
      <c r="T278" s="132"/>
      <c r="U278" s="160"/>
      <c r="V278" s="132"/>
      <c r="W278" s="132"/>
      <c r="X278" s="132"/>
    </row>
    <row r="279" spans="1:24" ht="38.25" customHeight="1">
      <c r="A279" s="141"/>
      <c r="B279" s="134"/>
      <c r="C279" s="141"/>
      <c r="D279" s="136"/>
      <c r="E279" s="141"/>
      <c r="F279" s="136"/>
      <c r="G279" s="139"/>
      <c r="H279" s="133"/>
      <c r="I279" s="134"/>
      <c r="J279" s="134"/>
      <c r="K279" s="134"/>
      <c r="L279" s="134"/>
      <c r="M279" s="134"/>
      <c r="N279" s="51" t="s">
        <v>39</v>
      </c>
      <c r="O279" s="48" t="s">
        <v>284</v>
      </c>
      <c r="P279" s="41"/>
      <c r="Q279" s="133"/>
      <c r="R279" s="133"/>
      <c r="S279" s="133"/>
      <c r="T279" s="133"/>
      <c r="U279" s="161"/>
      <c r="V279" s="133"/>
      <c r="W279" s="133"/>
      <c r="X279" s="133"/>
    </row>
    <row r="280" spans="1:24" ht="45.75" customHeight="1">
      <c r="A280" s="142">
        <v>93</v>
      </c>
      <c r="B280" s="134" t="s">
        <v>467</v>
      </c>
      <c r="C280" s="148" t="s">
        <v>1035</v>
      </c>
      <c r="D280" s="135" t="s">
        <v>810</v>
      </c>
      <c r="E280" s="141" t="s">
        <v>716</v>
      </c>
      <c r="F280" s="135" t="s">
        <v>962</v>
      </c>
      <c r="G280" s="137"/>
      <c r="H280" s="135" t="s">
        <v>669</v>
      </c>
      <c r="I280" s="134" t="s">
        <v>341</v>
      </c>
      <c r="J280" s="134" t="e">
        <f>#REF!</f>
        <v>#REF!</v>
      </c>
      <c r="K280" s="134" t="e">
        <f>#REF!</f>
        <v>#REF!</v>
      </c>
      <c r="L280" s="134" t="e">
        <f>#REF!</f>
        <v>#REF!</v>
      </c>
      <c r="M280" s="134" t="e">
        <f t="shared" ref="M280" si="182">IF(OR(L280&gt;6), "Non-acceptable","Acceptable")</f>
        <v>#REF!</v>
      </c>
      <c r="N280" s="51" t="s">
        <v>37</v>
      </c>
      <c r="O280" s="48" t="s">
        <v>349</v>
      </c>
      <c r="P280" s="42"/>
      <c r="Q280" s="131" t="e">
        <f>#REF!</f>
        <v>#REF!</v>
      </c>
      <c r="R280" s="131" t="e">
        <f>#REF!</f>
        <v>#REF!</v>
      </c>
      <c r="S280" s="131" t="e">
        <f>#REF!</f>
        <v>#REF!</v>
      </c>
      <c r="T280" s="131" t="e">
        <f t="shared" ref="T280" si="183">IF(OR(S280&gt;6), "Non-acceptable","Acceptable")</f>
        <v>#REF!</v>
      </c>
      <c r="U280" s="159" t="s">
        <v>763</v>
      </c>
      <c r="V280" s="131" t="s">
        <v>724</v>
      </c>
      <c r="W280" s="131" t="s">
        <v>725</v>
      </c>
      <c r="X280" s="131" t="s">
        <v>726</v>
      </c>
    </row>
    <row r="281" spans="1:24" ht="98.25" customHeight="1">
      <c r="A281" s="141"/>
      <c r="B281" s="134"/>
      <c r="C281" s="172"/>
      <c r="D281" s="136"/>
      <c r="E281" s="141"/>
      <c r="F281" s="136"/>
      <c r="G281" s="138"/>
      <c r="H281" s="136"/>
      <c r="I281" s="134"/>
      <c r="J281" s="134"/>
      <c r="K281" s="134"/>
      <c r="L281" s="134"/>
      <c r="M281" s="134"/>
      <c r="N281" s="51" t="s">
        <v>38</v>
      </c>
      <c r="O281" s="40" t="s">
        <v>573</v>
      </c>
      <c r="P281" s="40" t="s">
        <v>24</v>
      </c>
      <c r="Q281" s="132"/>
      <c r="R281" s="132"/>
      <c r="S281" s="132"/>
      <c r="T281" s="132"/>
      <c r="U281" s="160"/>
      <c r="V281" s="132"/>
      <c r="W281" s="132"/>
      <c r="X281" s="132"/>
    </row>
    <row r="282" spans="1:24" ht="142.5" customHeight="1">
      <c r="A282" s="141"/>
      <c r="B282" s="134"/>
      <c r="C282" s="173"/>
      <c r="D282" s="136"/>
      <c r="E282" s="141"/>
      <c r="F282" s="136"/>
      <c r="G282" s="139"/>
      <c r="H282" s="136"/>
      <c r="I282" s="134"/>
      <c r="J282" s="134"/>
      <c r="K282" s="134"/>
      <c r="L282" s="134"/>
      <c r="M282" s="134"/>
      <c r="N282" s="51" t="s">
        <v>39</v>
      </c>
      <c r="O282" s="40" t="s">
        <v>350</v>
      </c>
      <c r="P282" s="40" t="s">
        <v>351</v>
      </c>
      <c r="Q282" s="133"/>
      <c r="R282" s="133"/>
      <c r="S282" s="133"/>
      <c r="T282" s="133"/>
      <c r="U282" s="161"/>
      <c r="V282" s="133"/>
      <c r="W282" s="133"/>
      <c r="X282" s="133"/>
    </row>
    <row r="283" spans="1:24" ht="40.5" customHeight="1">
      <c r="A283" s="142">
        <v>94</v>
      </c>
      <c r="B283" s="134" t="s">
        <v>467</v>
      </c>
      <c r="C283" s="148" t="s">
        <v>1035</v>
      </c>
      <c r="D283" s="135" t="s">
        <v>811</v>
      </c>
      <c r="E283" s="141" t="s">
        <v>716</v>
      </c>
      <c r="F283" s="135" t="s">
        <v>963</v>
      </c>
      <c r="G283" s="137"/>
      <c r="H283" s="135" t="s">
        <v>964</v>
      </c>
      <c r="I283" s="134" t="s">
        <v>352</v>
      </c>
      <c r="J283" s="134" t="e">
        <f>#REF!</f>
        <v>#REF!</v>
      </c>
      <c r="K283" s="134" t="e">
        <f>#REF!</f>
        <v>#REF!</v>
      </c>
      <c r="L283" s="134" t="e">
        <f>#REF!</f>
        <v>#REF!</v>
      </c>
      <c r="M283" s="134" t="e">
        <f t="shared" ref="M283" si="184">IF(OR(L283&gt;6), "Non-acceptable","Acceptable")</f>
        <v>#REF!</v>
      </c>
      <c r="N283" s="51" t="s">
        <v>37</v>
      </c>
      <c r="O283" s="48" t="s">
        <v>349</v>
      </c>
      <c r="P283" s="42"/>
      <c r="Q283" s="131" t="e">
        <f>#REF!</f>
        <v>#REF!</v>
      </c>
      <c r="R283" s="131" t="e">
        <f>#REF!</f>
        <v>#REF!</v>
      </c>
      <c r="S283" s="131" t="e">
        <f>#REF!</f>
        <v>#REF!</v>
      </c>
      <c r="T283" s="131" t="e">
        <f t="shared" ref="T283" si="185">IF(OR(S283&gt;6), "Non-acceptable","Acceptable")</f>
        <v>#REF!</v>
      </c>
      <c r="U283" s="159" t="s">
        <v>764</v>
      </c>
      <c r="V283" s="131" t="s">
        <v>724</v>
      </c>
      <c r="W283" s="131" t="s">
        <v>725</v>
      </c>
      <c r="X283" s="131" t="s">
        <v>726</v>
      </c>
    </row>
    <row r="284" spans="1:24" ht="39.4">
      <c r="A284" s="141"/>
      <c r="B284" s="134"/>
      <c r="C284" s="172"/>
      <c r="D284" s="136"/>
      <c r="E284" s="141"/>
      <c r="F284" s="136"/>
      <c r="G284" s="138"/>
      <c r="H284" s="136"/>
      <c r="I284" s="134"/>
      <c r="J284" s="134"/>
      <c r="K284" s="134"/>
      <c r="L284" s="134"/>
      <c r="M284" s="134"/>
      <c r="N284" s="51" t="s">
        <v>38</v>
      </c>
      <c r="O284" s="40" t="s">
        <v>353</v>
      </c>
      <c r="P284" s="40" t="s">
        <v>173</v>
      </c>
      <c r="Q284" s="132"/>
      <c r="R284" s="132"/>
      <c r="S284" s="132"/>
      <c r="T284" s="132"/>
      <c r="U284" s="160"/>
      <c r="V284" s="132"/>
      <c r="W284" s="132"/>
      <c r="X284" s="132"/>
    </row>
    <row r="285" spans="1:24" ht="123" customHeight="1">
      <c r="A285" s="141"/>
      <c r="B285" s="134"/>
      <c r="C285" s="173"/>
      <c r="D285" s="136"/>
      <c r="E285" s="141"/>
      <c r="F285" s="136"/>
      <c r="G285" s="139"/>
      <c r="H285" s="136"/>
      <c r="I285" s="134"/>
      <c r="J285" s="134"/>
      <c r="K285" s="134"/>
      <c r="L285" s="134"/>
      <c r="M285" s="134"/>
      <c r="N285" s="51" t="s">
        <v>39</v>
      </c>
      <c r="O285" s="40" t="s">
        <v>574</v>
      </c>
      <c r="P285" s="40" t="s">
        <v>351</v>
      </c>
      <c r="Q285" s="133"/>
      <c r="R285" s="133"/>
      <c r="S285" s="133"/>
      <c r="T285" s="133"/>
      <c r="U285" s="161"/>
      <c r="V285" s="133"/>
      <c r="W285" s="133"/>
      <c r="X285" s="133"/>
    </row>
    <row r="286" spans="1:24" ht="38.25" customHeight="1">
      <c r="A286" s="142">
        <v>95</v>
      </c>
      <c r="B286" s="134" t="s">
        <v>507</v>
      </c>
      <c r="C286" s="143" t="s">
        <v>1036</v>
      </c>
      <c r="D286" s="135" t="s">
        <v>670</v>
      </c>
      <c r="E286" s="141" t="s">
        <v>716</v>
      </c>
      <c r="F286" s="135" t="s">
        <v>670</v>
      </c>
      <c r="G286" s="137"/>
      <c r="H286" s="136" t="s">
        <v>671</v>
      </c>
      <c r="I286" s="134" t="s">
        <v>354</v>
      </c>
      <c r="J286" s="134" t="e">
        <f>#REF!</f>
        <v>#REF!</v>
      </c>
      <c r="K286" s="134" t="e">
        <f>#REF!</f>
        <v>#REF!</v>
      </c>
      <c r="L286" s="134" t="e">
        <f>#REF!</f>
        <v>#REF!</v>
      </c>
      <c r="M286" s="134" t="e">
        <f t="shared" ref="M286" si="186">IF(OR(L286&gt;6), "Non-acceptable","Acceptable")</f>
        <v>#REF!</v>
      </c>
      <c r="N286" s="51" t="s">
        <v>37</v>
      </c>
      <c r="O286" s="48" t="s">
        <v>270</v>
      </c>
      <c r="P286" s="42"/>
      <c r="Q286" s="131" t="e">
        <f>#REF!</f>
        <v>#REF!</v>
      </c>
      <c r="R286" s="131" t="e">
        <f>#REF!</f>
        <v>#REF!</v>
      </c>
      <c r="S286" s="131" t="e">
        <f>#REF!</f>
        <v>#REF!</v>
      </c>
      <c r="T286" s="131" t="e">
        <f t="shared" ref="T286" si="187">IF(OR(S286&gt;6), "Non-acceptable","Acceptable")</f>
        <v>#REF!</v>
      </c>
      <c r="U286" s="159" t="s">
        <v>765</v>
      </c>
      <c r="V286" s="131" t="s">
        <v>724</v>
      </c>
      <c r="W286" s="131" t="s">
        <v>725</v>
      </c>
      <c r="X286" s="131" t="s">
        <v>726</v>
      </c>
    </row>
    <row r="287" spans="1:24" ht="31.5" customHeight="1">
      <c r="A287" s="141"/>
      <c r="B287" s="134"/>
      <c r="C287" s="141"/>
      <c r="D287" s="136"/>
      <c r="E287" s="141"/>
      <c r="F287" s="136"/>
      <c r="G287" s="138"/>
      <c r="H287" s="136"/>
      <c r="I287" s="134"/>
      <c r="J287" s="134"/>
      <c r="K287" s="134"/>
      <c r="L287" s="134"/>
      <c r="M287" s="134"/>
      <c r="N287" s="51" t="s">
        <v>38</v>
      </c>
      <c r="O287" s="48" t="s">
        <v>508</v>
      </c>
      <c r="P287" s="42"/>
      <c r="Q287" s="132"/>
      <c r="R287" s="132"/>
      <c r="S287" s="132"/>
      <c r="T287" s="132"/>
      <c r="U287" s="160"/>
      <c r="V287" s="132"/>
      <c r="W287" s="132"/>
      <c r="X287" s="132"/>
    </row>
    <row r="288" spans="1:24" ht="291.75" customHeight="1">
      <c r="A288" s="141"/>
      <c r="B288" s="134"/>
      <c r="C288" s="141"/>
      <c r="D288" s="136"/>
      <c r="E288" s="141"/>
      <c r="F288" s="136"/>
      <c r="G288" s="139"/>
      <c r="H288" s="136"/>
      <c r="I288" s="134"/>
      <c r="J288" s="134"/>
      <c r="K288" s="134"/>
      <c r="L288" s="134"/>
      <c r="M288" s="134"/>
      <c r="N288" s="51" t="s">
        <v>1022</v>
      </c>
      <c r="O288" s="40" t="s">
        <v>575</v>
      </c>
      <c r="P288" s="40" t="s">
        <v>965</v>
      </c>
      <c r="Q288" s="133"/>
      <c r="R288" s="133"/>
      <c r="S288" s="133"/>
      <c r="T288" s="133"/>
      <c r="U288" s="161"/>
      <c r="V288" s="133"/>
      <c r="W288" s="133"/>
      <c r="X288" s="133"/>
    </row>
    <row r="289" spans="1:24" ht="42.75" customHeight="1">
      <c r="A289" s="142">
        <v>96</v>
      </c>
      <c r="B289" s="134" t="s">
        <v>467</v>
      </c>
      <c r="C289" s="148" t="s">
        <v>1035</v>
      </c>
      <c r="D289" s="135" t="s">
        <v>812</v>
      </c>
      <c r="E289" s="141" t="s">
        <v>716</v>
      </c>
      <c r="F289" s="135" t="s">
        <v>966</v>
      </c>
      <c r="G289" s="137"/>
      <c r="H289" s="135" t="s">
        <v>964</v>
      </c>
      <c r="I289" s="134" t="s">
        <v>352</v>
      </c>
      <c r="J289" s="134" t="e">
        <f>#REF!</f>
        <v>#REF!</v>
      </c>
      <c r="K289" s="134" t="e">
        <f>#REF!</f>
        <v>#REF!</v>
      </c>
      <c r="L289" s="134" t="e">
        <f>#REF!</f>
        <v>#REF!</v>
      </c>
      <c r="M289" s="134" t="e">
        <f t="shared" ref="M289" si="188">IF(OR(L289&gt;6), "Non-acceptable","Acceptable")</f>
        <v>#REF!</v>
      </c>
      <c r="N289" s="51" t="s">
        <v>37</v>
      </c>
      <c r="O289" s="48" t="s">
        <v>275</v>
      </c>
      <c r="P289" s="42"/>
      <c r="Q289" s="131" t="e">
        <f>#REF!</f>
        <v>#REF!</v>
      </c>
      <c r="R289" s="131" t="e">
        <f>#REF!</f>
        <v>#REF!</v>
      </c>
      <c r="S289" s="131" t="e">
        <f>#REF!</f>
        <v>#REF!</v>
      </c>
      <c r="T289" s="131" t="e">
        <f t="shared" ref="T289" si="189">IF(OR(S289&gt;6), "Non-acceptable","Acceptable")</f>
        <v>#REF!</v>
      </c>
      <c r="U289" s="159" t="s">
        <v>766</v>
      </c>
      <c r="V289" s="131" t="s">
        <v>724</v>
      </c>
      <c r="W289" s="131" t="s">
        <v>725</v>
      </c>
      <c r="X289" s="131" t="s">
        <v>726</v>
      </c>
    </row>
    <row r="290" spans="1:24" ht="65.25" customHeight="1">
      <c r="A290" s="141"/>
      <c r="B290" s="134"/>
      <c r="C290" s="172"/>
      <c r="D290" s="136"/>
      <c r="E290" s="141"/>
      <c r="F290" s="136"/>
      <c r="G290" s="138"/>
      <c r="H290" s="136"/>
      <c r="I290" s="134"/>
      <c r="J290" s="134"/>
      <c r="K290" s="134"/>
      <c r="L290" s="134"/>
      <c r="M290" s="134"/>
      <c r="N290" s="51" t="s">
        <v>38</v>
      </c>
      <c r="O290" s="40" t="s">
        <v>967</v>
      </c>
      <c r="P290" s="40" t="s">
        <v>968</v>
      </c>
      <c r="Q290" s="132"/>
      <c r="R290" s="132"/>
      <c r="S290" s="132"/>
      <c r="T290" s="132"/>
      <c r="U290" s="160"/>
      <c r="V290" s="132"/>
      <c r="W290" s="132"/>
      <c r="X290" s="132"/>
    </row>
    <row r="291" spans="1:24" ht="134.25" customHeight="1">
      <c r="A291" s="141"/>
      <c r="B291" s="134"/>
      <c r="C291" s="173"/>
      <c r="D291" s="136"/>
      <c r="E291" s="141"/>
      <c r="F291" s="136"/>
      <c r="G291" s="139"/>
      <c r="H291" s="136"/>
      <c r="I291" s="134"/>
      <c r="J291" s="134"/>
      <c r="K291" s="134"/>
      <c r="L291" s="134"/>
      <c r="M291" s="134"/>
      <c r="N291" s="51" t="s">
        <v>39</v>
      </c>
      <c r="O291" s="40" t="s">
        <v>969</v>
      </c>
      <c r="P291" s="40" t="s">
        <v>900</v>
      </c>
      <c r="Q291" s="133"/>
      <c r="R291" s="133"/>
      <c r="S291" s="133"/>
      <c r="T291" s="133"/>
      <c r="U291" s="161"/>
      <c r="V291" s="133"/>
      <c r="W291" s="133"/>
      <c r="X291" s="133"/>
    </row>
    <row r="292" spans="1:24" ht="40.5" customHeight="1">
      <c r="A292" s="142">
        <v>97</v>
      </c>
      <c r="B292" s="134" t="s">
        <v>467</v>
      </c>
      <c r="C292" s="148" t="s">
        <v>1018</v>
      </c>
      <c r="D292" s="135" t="s">
        <v>813</v>
      </c>
      <c r="E292" s="141" t="s">
        <v>716</v>
      </c>
      <c r="F292" s="135" t="s">
        <v>970</v>
      </c>
      <c r="G292" s="137"/>
      <c r="H292" s="135" t="s">
        <v>672</v>
      </c>
      <c r="I292" s="134" t="s">
        <v>357</v>
      </c>
      <c r="J292" s="134" t="e">
        <f>#REF!</f>
        <v>#REF!</v>
      </c>
      <c r="K292" s="134" t="e">
        <f>#REF!</f>
        <v>#REF!</v>
      </c>
      <c r="L292" s="134" t="e">
        <f>#REF!</f>
        <v>#REF!</v>
      </c>
      <c r="M292" s="134" t="e">
        <f t="shared" ref="M292" si="190">IF(OR(L292&gt;6), "Non-acceptable","Acceptable")</f>
        <v>#REF!</v>
      </c>
      <c r="N292" s="51" t="s">
        <v>37</v>
      </c>
      <c r="O292" s="48" t="s">
        <v>278</v>
      </c>
      <c r="P292" s="42"/>
      <c r="Q292" s="131" t="e">
        <f>#REF!</f>
        <v>#REF!</v>
      </c>
      <c r="R292" s="131" t="e">
        <f>#REF!</f>
        <v>#REF!</v>
      </c>
      <c r="S292" s="131" t="e">
        <f>#REF!</f>
        <v>#REF!</v>
      </c>
      <c r="T292" s="131" t="e">
        <f t="shared" ref="T292" si="191">IF(OR(S292&gt;6), "Non-acceptable","Acceptable")</f>
        <v>#REF!</v>
      </c>
      <c r="U292" s="159" t="s">
        <v>767</v>
      </c>
      <c r="V292" s="131" t="s">
        <v>724</v>
      </c>
      <c r="W292" s="131" t="s">
        <v>725</v>
      </c>
      <c r="X292" s="131" t="s">
        <v>726</v>
      </c>
    </row>
    <row r="293" spans="1:24" ht="64.5" customHeight="1">
      <c r="A293" s="141"/>
      <c r="B293" s="134"/>
      <c r="C293" s="132"/>
      <c r="D293" s="136"/>
      <c r="E293" s="141"/>
      <c r="F293" s="136"/>
      <c r="G293" s="138"/>
      <c r="H293" s="136"/>
      <c r="I293" s="134"/>
      <c r="J293" s="134"/>
      <c r="K293" s="134"/>
      <c r="L293" s="134"/>
      <c r="M293" s="134"/>
      <c r="N293" s="51" t="s">
        <v>38</v>
      </c>
      <c r="O293" s="40" t="s">
        <v>971</v>
      </c>
      <c r="P293" s="40" t="s">
        <v>335</v>
      </c>
      <c r="Q293" s="132"/>
      <c r="R293" s="132"/>
      <c r="S293" s="132"/>
      <c r="T293" s="132"/>
      <c r="U293" s="160"/>
      <c r="V293" s="132"/>
      <c r="W293" s="132"/>
      <c r="X293" s="132"/>
    </row>
    <row r="294" spans="1:24" ht="297.75" customHeight="1">
      <c r="A294" s="141"/>
      <c r="B294" s="134"/>
      <c r="C294" s="133"/>
      <c r="D294" s="136"/>
      <c r="E294" s="141"/>
      <c r="F294" s="136"/>
      <c r="G294" s="139"/>
      <c r="H294" s="136"/>
      <c r="I294" s="134"/>
      <c r="J294" s="134"/>
      <c r="K294" s="134"/>
      <c r="L294" s="134"/>
      <c r="M294" s="134"/>
      <c r="N294" s="51" t="s">
        <v>39</v>
      </c>
      <c r="O294" s="40" t="s">
        <v>576</v>
      </c>
      <c r="P294" s="40" t="s">
        <v>900</v>
      </c>
      <c r="Q294" s="133"/>
      <c r="R294" s="133"/>
      <c r="S294" s="133"/>
      <c r="T294" s="133"/>
      <c r="U294" s="161"/>
      <c r="V294" s="133"/>
      <c r="W294" s="133"/>
      <c r="X294" s="133"/>
    </row>
    <row r="295" spans="1:24" ht="22.5" customHeight="1">
      <c r="A295" s="142">
        <v>98</v>
      </c>
      <c r="B295" s="134" t="s">
        <v>468</v>
      </c>
      <c r="C295" s="143" t="s">
        <v>1017</v>
      </c>
      <c r="D295" s="156" t="s">
        <v>673</v>
      </c>
      <c r="E295" s="141" t="s">
        <v>40</v>
      </c>
      <c r="F295" s="156" t="s">
        <v>673</v>
      </c>
      <c r="G295" s="137"/>
      <c r="H295" s="142" t="s">
        <v>326</v>
      </c>
      <c r="I295" s="134" t="s">
        <v>193</v>
      </c>
      <c r="J295" s="134" t="e">
        <f>#REF!</f>
        <v>#REF!</v>
      </c>
      <c r="K295" s="134" t="e">
        <f>#REF!</f>
        <v>#REF!</v>
      </c>
      <c r="L295" s="134" t="e">
        <f>#REF!</f>
        <v>#REF!</v>
      </c>
      <c r="M295" s="134" t="e">
        <f t="shared" ref="M295" si="192">IF(OR(L295&gt;6), "Non-acceptable","Acceptable")</f>
        <v>#REF!</v>
      </c>
      <c r="N295" s="51" t="s">
        <v>37</v>
      </c>
      <c r="O295" s="48" t="s">
        <v>290</v>
      </c>
      <c r="P295" s="20"/>
      <c r="Q295" s="131" t="e">
        <f>#REF!</f>
        <v>#REF!</v>
      </c>
      <c r="R295" s="131" t="e">
        <f>#REF!</f>
        <v>#REF!</v>
      </c>
      <c r="S295" s="131" t="e">
        <f>#REF!</f>
        <v>#REF!</v>
      </c>
      <c r="T295" s="131" t="e">
        <f t="shared" ref="T295" si="193">IF(OR(S295&gt;6), "Non-acceptable","Acceptable")</f>
        <v>#REF!</v>
      </c>
      <c r="U295" s="159" t="s">
        <v>768</v>
      </c>
      <c r="V295" s="131" t="s">
        <v>724</v>
      </c>
      <c r="W295" s="131" t="s">
        <v>725</v>
      </c>
      <c r="X295" s="131" t="s">
        <v>726</v>
      </c>
    </row>
    <row r="296" spans="1:24" ht="26.25">
      <c r="A296" s="141"/>
      <c r="B296" s="134"/>
      <c r="C296" s="141"/>
      <c r="D296" s="162"/>
      <c r="E296" s="141"/>
      <c r="F296" s="162"/>
      <c r="G296" s="138"/>
      <c r="H296" s="142"/>
      <c r="I296" s="134"/>
      <c r="J296" s="134"/>
      <c r="K296" s="134"/>
      <c r="L296" s="134"/>
      <c r="M296" s="134"/>
      <c r="N296" s="51" t="s">
        <v>38</v>
      </c>
      <c r="O296" s="40" t="s">
        <v>272</v>
      </c>
      <c r="P296" s="44"/>
      <c r="Q296" s="132"/>
      <c r="R296" s="132"/>
      <c r="S296" s="132"/>
      <c r="T296" s="132"/>
      <c r="U296" s="160"/>
      <c r="V296" s="132"/>
      <c r="W296" s="132"/>
      <c r="X296" s="132"/>
    </row>
    <row r="297" spans="1:24" ht="196.9">
      <c r="A297" s="141"/>
      <c r="B297" s="134"/>
      <c r="C297" s="141"/>
      <c r="D297" s="162"/>
      <c r="E297" s="141"/>
      <c r="F297" s="162"/>
      <c r="G297" s="139"/>
      <c r="H297" s="142"/>
      <c r="I297" s="134"/>
      <c r="J297" s="134"/>
      <c r="K297" s="134"/>
      <c r="L297" s="134"/>
      <c r="M297" s="134"/>
      <c r="N297" s="51" t="s">
        <v>39</v>
      </c>
      <c r="O297" s="40" t="s">
        <v>972</v>
      </c>
      <c r="P297" s="40" t="s">
        <v>973</v>
      </c>
      <c r="Q297" s="133"/>
      <c r="R297" s="133"/>
      <c r="S297" s="133"/>
      <c r="T297" s="133"/>
      <c r="U297" s="161"/>
      <c r="V297" s="133"/>
      <c r="W297" s="133"/>
      <c r="X297" s="133"/>
    </row>
    <row r="298" spans="1:24" ht="36" customHeight="1">
      <c r="A298" s="142">
        <v>99</v>
      </c>
      <c r="B298" s="134" t="s">
        <v>674</v>
      </c>
      <c r="C298" s="134" t="s">
        <v>1037</v>
      </c>
      <c r="D298" s="156" t="s">
        <v>678</v>
      </c>
      <c r="E298" s="141" t="s">
        <v>716</v>
      </c>
      <c r="F298" s="156" t="s">
        <v>678</v>
      </c>
      <c r="G298" s="137"/>
      <c r="H298" s="142" t="s">
        <v>326</v>
      </c>
      <c r="I298" s="134" t="s">
        <v>193</v>
      </c>
      <c r="J298" s="134" t="e">
        <f>#REF!</f>
        <v>#REF!</v>
      </c>
      <c r="K298" s="134" t="e">
        <f>#REF!</f>
        <v>#REF!</v>
      </c>
      <c r="L298" s="134" t="e">
        <f>#REF!</f>
        <v>#REF!</v>
      </c>
      <c r="M298" s="134" t="e">
        <f t="shared" ref="M298" si="194">IF(OR(L298&gt;6), "Non-acceptable","Acceptable")</f>
        <v>#REF!</v>
      </c>
      <c r="N298" s="51" t="s">
        <v>37</v>
      </c>
      <c r="O298" s="48" t="s">
        <v>298</v>
      </c>
      <c r="P298" s="42"/>
      <c r="Q298" s="131" t="e">
        <f>#REF!</f>
        <v>#REF!</v>
      </c>
      <c r="R298" s="131" t="e">
        <f>#REF!</f>
        <v>#REF!</v>
      </c>
      <c r="S298" s="131" t="e">
        <f>#REF!</f>
        <v>#REF!</v>
      </c>
      <c r="T298" s="131" t="e">
        <f t="shared" ref="T298" si="195">IF(OR(S298&gt;6), "Non-acceptable","Acceptable")</f>
        <v>#REF!</v>
      </c>
      <c r="U298" s="159" t="s">
        <v>769</v>
      </c>
      <c r="V298" s="131" t="s">
        <v>724</v>
      </c>
      <c r="W298" s="131" t="s">
        <v>725</v>
      </c>
      <c r="X298" s="131" t="s">
        <v>726</v>
      </c>
    </row>
    <row r="299" spans="1:24" ht="60.75" customHeight="1">
      <c r="A299" s="141"/>
      <c r="B299" s="134"/>
      <c r="C299" s="134"/>
      <c r="D299" s="162"/>
      <c r="E299" s="141"/>
      <c r="F299" s="162"/>
      <c r="G299" s="138"/>
      <c r="H299" s="142"/>
      <c r="I299" s="134"/>
      <c r="J299" s="134"/>
      <c r="K299" s="134"/>
      <c r="L299" s="134"/>
      <c r="M299" s="134"/>
      <c r="N299" s="51" t="s">
        <v>38</v>
      </c>
      <c r="O299" s="40" t="s">
        <v>194</v>
      </c>
      <c r="P299" s="40" t="s">
        <v>195</v>
      </c>
      <c r="Q299" s="132"/>
      <c r="R299" s="132"/>
      <c r="S299" s="132"/>
      <c r="T299" s="132"/>
      <c r="U299" s="160"/>
      <c r="V299" s="132"/>
      <c r="W299" s="132"/>
      <c r="X299" s="132"/>
    </row>
    <row r="300" spans="1:24" ht="201" customHeight="1">
      <c r="A300" s="141"/>
      <c r="B300" s="134"/>
      <c r="C300" s="134"/>
      <c r="D300" s="162"/>
      <c r="E300" s="141"/>
      <c r="F300" s="162"/>
      <c r="G300" s="139"/>
      <c r="H300" s="142"/>
      <c r="I300" s="134"/>
      <c r="J300" s="134"/>
      <c r="K300" s="134"/>
      <c r="L300" s="134"/>
      <c r="M300" s="134"/>
      <c r="N300" s="51" t="s">
        <v>39</v>
      </c>
      <c r="O300" s="40" t="s">
        <v>974</v>
      </c>
      <c r="P300" s="40" t="s">
        <v>975</v>
      </c>
      <c r="Q300" s="133"/>
      <c r="R300" s="133"/>
      <c r="S300" s="133"/>
      <c r="T300" s="133"/>
      <c r="U300" s="161"/>
      <c r="V300" s="133"/>
      <c r="W300" s="133"/>
      <c r="X300" s="133"/>
    </row>
    <row r="301" spans="1:24" ht="41.25" customHeight="1">
      <c r="A301" s="142">
        <v>100</v>
      </c>
      <c r="B301" s="134" t="s">
        <v>503</v>
      </c>
      <c r="C301" s="143" t="s">
        <v>1017</v>
      </c>
      <c r="D301" s="156" t="s">
        <v>675</v>
      </c>
      <c r="E301" s="141" t="s">
        <v>40</v>
      </c>
      <c r="F301" s="156" t="s">
        <v>675</v>
      </c>
      <c r="G301" s="137"/>
      <c r="H301" s="142" t="s">
        <v>679</v>
      </c>
      <c r="I301" s="134" t="s">
        <v>86</v>
      </c>
      <c r="J301" s="134" t="e">
        <f>#REF!</f>
        <v>#REF!</v>
      </c>
      <c r="K301" s="134" t="e">
        <f>#REF!</f>
        <v>#REF!</v>
      </c>
      <c r="L301" s="134" t="e">
        <f>#REF!</f>
        <v>#REF!</v>
      </c>
      <c r="M301" s="134" t="e">
        <f t="shared" ref="M301" si="196">IF(OR(L301&gt;6), "Non-acceptable","Acceptable")</f>
        <v>#REF!</v>
      </c>
      <c r="N301" s="51" t="s">
        <v>37</v>
      </c>
      <c r="O301" s="48" t="s">
        <v>270</v>
      </c>
      <c r="P301" s="20"/>
      <c r="Q301" s="131" t="e">
        <f>#REF!</f>
        <v>#REF!</v>
      </c>
      <c r="R301" s="131" t="e">
        <f>#REF!</f>
        <v>#REF!</v>
      </c>
      <c r="S301" s="131" t="e">
        <f>#REF!</f>
        <v>#REF!</v>
      </c>
      <c r="T301" s="131" t="e">
        <f t="shared" ref="T301" si="197">IF(OR(S301&gt;6), "Non-acceptable","Acceptable")</f>
        <v>#REF!</v>
      </c>
      <c r="U301" s="159" t="s">
        <v>770</v>
      </c>
      <c r="V301" s="131" t="s">
        <v>724</v>
      </c>
      <c r="W301" s="131" t="s">
        <v>725</v>
      </c>
      <c r="X301" s="131" t="s">
        <v>726</v>
      </c>
    </row>
    <row r="302" spans="1:24" ht="37.5" customHeight="1">
      <c r="A302" s="141"/>
      <c r="B302" s="134"/>
      <c r="C302" s="141"/>
      <c r="D302" s="162"/>
      <c r="E302" s="141"/>
      <c r="F302" s="162"/>
      <c r="G302" s="138"/>
      <c r="H302" s="142"/>
      <c r="I302" s="134"/>
      <c r="J302" s="134"/>
      <c r="K302" s="134"/>
      <c r="L302" s="134"/>
      <c r="M302" s="134"/>
      <c r="N302" s="51" t="s">
        <v>38</v>
      </c>
      <c r="O302" s="48" t="s">
        <v>272</v>
      </c>
      <c r="P302" s="44"/>
      <c r="Q302" s="132"/>
      <c r="R302" s="132"/>
      <c r="S302" s="132"/>
      <c r="T302" s="132"/>
      <c r="U302" s="160"/>
      <c r="V302" s="132"/>
      <c r="W302" s="132"/>
      <c r="X302" s="132"/>
    </row>
    <row r="303" spans="1:24" ht="188.25" customHeight="1">
      <c r="A303" s="141"/>
      <c r="B303" s="134"/>
      <c r="C303" s="141"/>
      <c r="D303" s="162"/>
      <c r="E303" s="141"/>
      <c r="F303" s="162"/>
      <c r="G303" s="139"/>
      <c r="H303" s="142"/>
      <c r="I303" s="134"/>
      <c r="J303" s="134"/>
      <c r="K303" s="134"/>
      <c r="L303" s="134"/>
      <c r="M303" s="134"/>
      <c r="N303" s="51" t="s">
        <v>39</v>
      </c>
      <c r="O303" s="40" t="s">
        <v>976</v>
      </c>
      <c r="P303" s="40" t="s">
        <v>973</v>
      </c>
      <c r="Q303" s="133"/>
      <c r="R303" s="133"/>
      <c r="S303" s="133"/>
      <c r="T303" s="133"/>
      <c r="U303" s="161"/>
      <c r="V303" s="133"/>
      <c r="W303" s="133"/>
      <c r="X303" s="133"/>
    </row>
    <row r="304" spans="1:24" ht="36" customHeight="1">
      <c r="A304" s="142">
        <v>101</v>
      </c>
      <c r="B304" s="134" t="s">
        <v>676</v>
      </c>
      <c r="C304" s="134" t="s">
        <v>1037</v>
      </c>
      <c r="D304" s="156" t="s">
        <v>677</v>
      </c>
      <c r="E304" s="141" t="s">
        <v>716</v>
      </c>
      <c r="F304" s="156" t="s">
        <v>677</v>
      </c>
      <c r="G304" s="137"/>
      <c r="H304" s="142" t="s">
        <v>679</v>
      </c>
      <c r="I304" s="134" t="s">
        <v>86</v>
      </c>
      <c r="J304" s="134" t="e">
        <f>#REF!</f>
        <v>#REF!</v>
      </c>
      <c r="K304" s="134" t="e">
        <f>#REF!</f>
        <v>#REF!</v>
      </c>
      <c r="L304" s="134" t="e">
        <f>#REF!</f>
        <v>#REF!</v>
      </c>
      <c r="M304" s="134" t="e">
        <f t="shared" ref="M304" si="198">IF(OR(L304&gt;6), "Non-acceptable","Acceptable")</f>
        <v>#REF!</v>
      </c>
      <c r="N304" s="51" t="s">
        <v>37</v>
      </c>
      <c r="O304" s="48" t="s">
        <v>298</v>
      </c>
      <c r="P304" s="42"/>
      <c r="Q304" s="131" t="e">
        <f>#REF!</f>
        <v>#REF!</v>
      </c>
      <c r="R304" s="131" t="e">
        <f>#REF!</f>
        <v>#REF!</v>
      </c>
      <c r="S304" s="131" t="e">
        <f>#REF!</f>
        <v>#REF!</v>
      </c>
      <c r="T304" s="131" t="e">
        <f t="shared" ref="T304" si="199">IF(OR(S304&gt;6), "Non-acceptable","Acceptable")</f>
        <v>#REF!</v>
      </c>
      <c r="U304" s="159" t="s">
        <v>771</v>
      </c>
      <c r="V304" s="131" t="s">
        <v>724</v>
      </c>
      <c r="W304" s="131" t="s">
        <v>725</v>
      </c>
      <c r="X304" s="131" t="s">
        <v>726</v>
      </c>
    </row>
    <row r="305" spans="1:24" ht="65.650000000000006">
      <c r="A305" s="141"/>
      <c r="B305" s="134"/>
      <c r="C305" s="134"/>
      <c r="D305" s="162"/>
      <c r="E305" s="141"/>
      <c r="F305" s="162"/>
      <c r="G305" s="138"/>
      <c r="H305" s="142"/>
      <c r="I305" s="134"/>
      <c r="J305" s="134"/>
      <c r="K305" s="134"/>
      <c r="L305" s="134"/>
      <c r="M305" s="134"/>
      <c r="N305" s="51" t="s">
        <v>38</v>
      </c>
      <c r="O305" s="40" t="s">
        <v>194</v>
      </c>
      <c r="P305" s="40" t="s">
        <v>195</v>
      </c>
      <c r="Q305" s="132"/>
      <c r="R305" s="132"/>
      <c r="S305" s="132"/>
      <c r="T305" s="132"/>
      <c r="U305" s="160"/>
      <c r="V305" s="132"/>
      <c r="W305" s="132"/>
      <c r="X305" s="132"/>
    </row>
    <row r="306" spans="1:24" ht="176.25" customHeight="1">
      <c r="A306" s="141"/>
      <c r="B306" s="134"/>
      <c r="C306" s="134"/>
      <c r="D306" s="162"/>
      <c r="E306" s="141"/>
      <c r="F306" s="162"/>
      <c r="G306" s="139"/>
      <c r="H306" s="142"/>
      <c r="I306" s="134"/>
      <c r="J306" s="134"/>
      <c r="K306" s="134"/>
      <c r="L306" s="134"/>
      <c r="M306" s="134"/>
      <c r="N306" s="51" t="s">
        <v>39</v>
      </c>
      <c r="O306" s="40" t="s">
        <v>977</v>
      </c>
      <c r="P306" s="40" t="s">
        <v>975</v>
      </c>
      <c r="Q306" s="133"/>
      <c r="R306" s="133"/>
      <c r="S306" s="133"/>
      <c r="T306" s="133"/>
      <c r="U306" s="161"/>
      <c r="V306" s="133"/>
      <c r="W306" s="133"/>
      <c r="X306" s="133"/>
    </row>
    <row r="307" spans="1:24" ht="42" customHeight="1">
      <c r="A307" s="142">
        <v>102</v>
      </c>
      <c r="B307" s="134" t="s">
        <v>474</v>
      </c>
      <c r="C307" s="143" t="s">
        <v>1017</v>
      </c>
      <c r="D307" s="135" t="s">
        <v>680</v>
      </c>
      <c r="E307" s="141" t="s">
        <v>716</v>
      </c>
      <c r="F307" s="135" t="s">
        <v>680</v>
      </c>
      <c r="G307" s="137"/>
      <c r="H307" s="135" t="s">
        <v>978</v>
      </c>
      <c r="I307" s="134" t="s">
        <v>432</v>
      </c>
      <c r="J307" s="134" t="e">
        <f>#REF!</f>
        <v>#REF!</v>
      </c>
      <c r="K307" s="134" t="e">
        <f>#REF!</f>
        <v>#REF!</v>
      </c>
      <c r="L307" s="134" t="e">
        <f>#REF!</f>
        <v>#REF!</v>
      </c>
      <c r="M307" s="134" t="e">
        <f t="shared" ref="M307" si="200">IF(OR(L307&gt;6), "Non-acceptable","Acceptable")</f>
        <v>#REF!</v>
      </c>
      <c r="N307" s="51" t="s">
        <v>37</v>
      </c>
      <c r="O307" s="48" t="s">
        <v>270</v>
      </c>
      <c r="P307" s="42"/>
      <c r="Q307" s="131" t="e">
        <f>#REF!</f>
        <v>#REF!</v>
      </c>
      <c r="R307" s="131" t="e">
        <f>#REF!</f>
        <v>#REF!</v>
      </c>
      <c r="S307" s="131" t="e">
        <f>#REF!</f>
        <v>#REF!</v>
      </c>
      <c r="T307" s="131" t="e">
        <f t="shared" ref="T307" si="201">IF(OR(S307&gt;6), "Non-acceptable","Acceptable")</f>
        <v>#REF!</v>
      </c>
      <c r="U307" s="159" t="s">
        <v>772</v>
      </c>
      <c r="V307" s="131" t="s">
        <v>724</v>
      </c>
      <c r="W307" s="131" t="s">
        <v>725</v>
      </c>
      <c r="X307" s="131" t="s">
        <v>726</v>
      </c>
    </row>
    <row r="308" spans="1:24" ht="31.5" customHeight="1">
      <c r="A308" s="141"/>
      <c r="B308" s="134"/>
      <c r="C308" s="141"/>
      <c r="D308" s="136"/>
      <c r="E308" s="141"/>
      <c r="F308" s="136"/>
      <c r="G308" s="138"/>
      <c r="H308" s="136"/>
      <c r="I308" s="134"/>
      <c r="J308" s="134"/>
      <c r="K308" s="134"/>
      <c r="L308" s="134"/>
      <c r="M308" s="134"/>
      <c r="N308" s="51" t="s">
        <v>38</v>
      </c>
      <c r="O308" s="48" t="s">
        <v>577</v>
      </c>
      <c r="P308" s="42"/>
      <c r="Q308" s="132"/>
      <c r="R308" s="132"/>
      <c r="S308" s="132"/>
      <c r="T308" s="132"/>
      <c r="U308" s="160"/>
      <c r="V308" s="132"/>
      <c r="W308" s="132"/>
      <c r="X308" s="132"/>
    </row>
    <row r="309" spans="1:24" ht="196.9">
      <c r="A309" s="141"/>
      <c r="B309" s="134"/>
      <c r="C309" s="141"/>
      <c r="D309" s="136"/>
      <c r="E309" s="141"/>
      <c r="F309" s="136"/>
      <c r="G309" s="139"/>
      <c r="H309" s="136"/>
      <c r="I309" s="134"/>
      <c r="J309" s="134"/>
      <c r="K309" s="134"/>
      <c r="L309" s="134"/>
      <c r="M309" s="134"/>
      <c r="N309" s="51" t="s">
        <v>39</v>
      </c>
      <c r="O309" s="40" t="s">
        <v>578</v>
      </c>
      <c r="P309" s="40" t="s">
        <v>470</v>
      </c>
      <c r="Q309" s="133"/>
      <c r="R309" s="133"/>
      <c r="S309" s="133"/>
      <c r="T309" s="133"/>
      <c r="U309" s="161"/>
      <c r="V309" s="133"/>
      <c r="W309" s="133"/>
      <c r="X309" s="133"/>
    </row>
    <row r="310" spans="1:24" ht="33.75" customHeight="1">
      <c r="A310" s="142">
        <v>103</v>
      </c>
      <c r="B310" s="134" t="s">
        <v>474</v>
      </c>
      <c r="C310" s="148" t="s">
        <v>1018</v>
      </c>
      <c r="D310" s="135" t="s">
        <v>681</v>
      </c>
      <c r="E310" s="141" t="s">
        <v>716</v>
      </c>
      <c r="F310" s="135" t="s">
        <v>681</v>
      </c>
      <c r="G310" s="137"/>
      <c r="H310" s="135" t="s">
        <v>978</v>
      </c>
      <c r="I310" s="134" t="s">
        <v>432</v>
      </c>
      <c r="J310" s="134" t="e">
        <f>#REF!</f>
        <v>#REF!</v>
      </c>
      <c r="K310" s="134" t="e">
        <f>#REF!</f>
        <v>#REF!</v>
      </c>
      <c r="L310" s="134" t="e">
        <f>#REF!</f>
        <v>#REF!</v>
      </c>
      <c r="M310" s="134" t="e">
        <f t="shared" ref="M310" si="202">IF(OR(L310&gt;6), "Non-acceptable","Acceptable")</f>
        <v>#REF!</v>
      </c>
      <c r="N310" s="51" t="s">
        <v>37</v>
      </c>
      <c r="O310" s="48" t="s">
        <v>327</v>
      </c>
      <c r="P310" s="48"/>
      <c r="Q310" s="131" t="e">
        <f>#REF!</f>
        <v>#REF!</v>
      </c>
      <c r="R310" s="131" t="e">
        <f>#REF!</f>
        <v>#REF!</v>
      </c>
      <c r="S310" s="131" t="e">
        <f>#REF!</f>
        <v>#REF!</v>
      </c>
      <c r="T310" s="131" t="e">
        <f t="shared" ref="T310" si="203">IF(OR(S310&gt;6), "Non-acceptable","Acceptable")</f>
        <v>#REF!</v>
      </c>
      <c r="U310" s="159" t="s">
        <v>773</v>
      </c>
      <c r="V310" s="131" t="s">
        <v>724</v>
      </c>
      <c r="W310" s="131" t="s">
        <v>797</v>
      </c>
      <c r="X310" s="131" t="s">
        <v>726</v>
      </c>
    </row>
    <row r="311" spans="1:24" ht="78.75">
      <c r="A311" s="141"/>
      <c r="B311" s="134"/>
      <c r="C311" s="132"/>
      <c r="D311" s="136"/>
      <c r="E311" s="141"/>
      <c r="F311" s="136"/>
      <c r="G311" s="138"/>
      <c r="H311" s="136"/>
      <c r="I311" s="134"/>
      <c r="J311" s="134"/>
      <c r="K311" s="134"/>
      <c r="L311" s="134"/>
      <c r="M311" s="134"/>
      <c r="N311" s="51" t="s">
        <v>38</v>
      </c>
      <c r="O311" s="40" t="s">
        <v>431</v>
      </c>
      <c r="P311" s="40" t="s">
        <v>430</v>
      </c>
      <c r="Q311" s="132"/>
      <c r="R311" s="132"/>
      <c r="S311" s="132"/>
      <c r="T311" s="132"/>
      <c r="U311" s="160"/>
      <c r="V311" s="132"/>
      <c r="W311" s="132"/>
      <c r="X311" s="132"/>
    </row>
    <row r="312" spans="1:24" ht="144.4">
      <c r="A312" s="141"/>
      <c r="B312" s="134"/>
      <c r="C312" s="133"/>
      <c r="D312" s="136"/>
      <c r="E312" s="141"/>
      <c r="F312" s="136"/>
      <c r="G312" s="139"/>
      <c r="H312" s="136"/>
      <c r="I312" s="134"/>
      <c r="J312" s="134"/>
      <c r="K312" s="134"/>
      <c r="L312" s="134"/>
      <c r="M312" s="134"/>
      <c r="N312" s="51" t="s">
        <v>39</v>
      </c>
      <c r="O312" s="40" t="s">
        <v>499</v>
      </c>
      <c r="P312" s="40" t="s">
        <v>470</v>
      </c>
      <c r="Q312" s="133"/>
      <c r="R312" s="133"/>
      <c r="S312" s="133"/>
      <c r="T312" s="133"/>
      <c r="U312" s="161"/>
      <c r="V312" s="133"/>
      <c r="W312" s="133"/>
      <c r="X312" s="133"/>
    </row>
    <row r="313" spans="1:24" ht="33.75" customHeight="1">
      <c r="A313" s="142">
        <v>104</v>
      </c>
      <c r="B313" s="134" t="s">
        <v>472</v>
      </c>
      <c r="C313" s="143" t="s">
        <v>1017</v>
      </c>
      <c r="D313" s="135" t="s">
        <v>484</v>
      </c>
      <c r="E313" s="141" t="s">
        <v>716</v>
      </c>
      <c r="F313" s="135" t="s">
        <v>484</v>
      </c>
      <c r="G313" s="137"/>
      <c r="H313" s="135" t="s">
        <v>978</v>
      </c>
      <c r="I313" s="134" t="s">
        <v>432</v>
      </c>
      <c r="J313" s="134" t="e">
        <f>#REF!</f>
        <v>#REF!</v>
      </c>
      <c r="K313" s="134" t="e">
        <f>#REF!</f>
        <v>#REF!</v>
      </c>
      <c r="L313" s="134" t="e">
        <f>#REF!</f>
        <v>#REF!</v>
      </c>
      <c r="M313" s="134" t="e">
        <f t="shared" ref="M313" si="204">IF(OR(L313&gt;6), "Non-acceptable","Acceptable")</f>
        <v>#REF!</v>
      </c>
      <c r="N313" s="51" t="s">
        <v>37</v>
      </c>
      <c r="O313" s="40" t="s">
        <v>270</v>
      </c>
      <c r="P313" s="42"/>
      <c r="Q313" s="131" t="e">
        <f>#REF!</f>
        <v>#REF!</v>
      </c>
      <c r="R313" s="131" t="e">
        <f>#REF!</f>
        <v>#REF!</v>
      </c>
      <c r="S313" s="131" t="e">
        <f>#REF!</f>
        <v>#REF!</v>
      </c>
      <c r="T313" s="131" t="e">
        <f t="shared" ref="T313" si="205">IF(OR(S313&gt;6), "Non-acceptable","Acceptable")</f>
        <v>#REF!</v>
      </c>
      <c r="U313" s="159" t="s">
        <v>774</v>
      </c>
      <c r="V313" s="131" t="s">
        <v>724</v>
      </c>
      <c r="W313" s="131" t="s">
        <v>725</v>
      </c>
      <c r="X313" s="131" t="s">
        <v>726</v>
      </c>
    </row>
    <row r="314" spans="1:24" ht="39.4">
      <c r="A314" s="141"/>
      <c r="B314" s="134"/>
      <c r="C314" s="141"/>
      <c r="D314" s="136"/>
      <c r="E314" s="141"/>
      <c r="F314" s="136"/>
      <c r="G314" s="138"/>
      <c r="H314" s="136"/>
      <c r="I314" s="134"/>
      <c r="J314" s="134"/>
      <c r="K314" s="134"/>
      <c r="L314" s="134"/>
      <c r="M314" s="134"/>
      <c r="N314" s="51" t="s">
        <v>38</v>
      </c>
      <c r="O314" s="40" t="s">
        <v>271</v>
      </c>
      <c r="P314" s="42"/>
      <c r="Q314" s="132"/>
      <c r="R314" s="132"/>
      <c r="S314" s="132"/>
      <c r="T314" s="132"/>
      <c r="U314" s="160"/>
      <c r="V314" s="132"/>
      <c r="W314" s="132"/>
      <c r="X314" s="132"/>
    </row>
    <row r="315" spans="1:24" ht="144.4">
      <c r="A315" s="141"/>
      <c r="B315" s="134"/>
      <c r="C315" s="141"/>
      <c r="D315" s="136"/>
      <c r="E315" s="141"/>
      <c r="F315" s="136"/>
      <c r="G315" s="139"/>
      <c r="H315" s="136"/>
      <c r="I315" s="134"/>
      <c r="J315" s="134"/>
      <c r="K315" s="134"/>
      <c r="L315" s="134"/>
      <c r="M315" s="134"/>
      <c r="N315" s="51" t="s">
        <v>39</v>
      </c>
      <c r="O315" s="40" t="s">
        <v>579</v>
      </c>
      <c r="P315" s="40" t="s">
        <v>473</v>
      </c>
      <c r="Q315" s="133"/>
      <c r="R315" s="133"/>
      <c r="S315" s="133"/>
      <c r="T315" s="133"/>
      <c r="U315" s="161"/>
      <c r="V315" s="133"/>
      <c r="W315" s="133"/>
      <c r="X315" s="133"/>
    </row>
    <row r="316" spans="1:24" ht="41.25" customHeight="1">
      <c r="A316" s="142">
        <v>105</v>
      </c>
      <c r="B316" s="134" t="s">
        <v>472</v>
      </c>
      <c r="C316" s="148" t="s">
        <v>1018</v>
      </c>
      <c r="D316" s="135" t="s">
        <v>490</v>
      </c>
      <c r="E316" s="141" t="s">
        <v>716</v>
      </c>
      <c r="F316" s="135" t="s">
        <v>490</v>
      </c>
      <c r="G316" s="137"/>
      <c r="H316" s="135" t="s">
        <v>978</v>
      </c>
      <c r="I316" s="134" t="s">
        <v>432</v>
      </c>
      <c r="J316" s="134" t="e">
        <f>#REF!</f>
        <v>#REF!</v>
      </c>
      <c r="K316" s="134" t="e">
        <f>#REF!</f>
        <v>#REF!</v>
      </c>
      <c r="L316" s="134" t="e">
        <f>#REF!</f>
        <v>#REF!</v>
      </c>
      <c r="M316" s="134" t="e">
        <f t="shared" ref="M316" si="206">IF(OR(L316&gt;6), "Non-acceptable","Acceptable")</f>
        <v>#REF!</v>
      </c>
      <c r="N316" s="51" t="s">
        <v>37</v>
      </c>
      <c r="O316" s="48" t="s">
        <v>298</v>
      </c>
      <c r="P316" s="48"/>
      <c r="Q316" s="131" t="e">
        <f>#REF!</f>
        <v>#REF!</v>
      </c>
      <c r="R316" s="131" t="e">
        <f>#REF!</f>
        <v>#REF!</v>
      </c>
      <c r="S316" s="131" t="e">
        <f>#REF!</f>
        <v>#REF!</v>
      </c>
      <c r="T316" s="131" t="e">
        <f t="shared" ref="T316" si="207">IF(OR(S316&gt;6), "Non-acceptable","Acceptable")</f>
        <v>#REF!</v>
      </c>
      <c r="U316" s="159" t="s">
        <v>775</v>
      </c>
      <c r="V316" s="131" t="s">
        <v>724</v>
      </c>
      <c r="W316" s="131" t="s">
        <v>725</v>
      </c>
      <c r="X316" s="131" t="s">
        <v>726</v>
      </c>
    </row>
    <row r="317" spans="1:24" ht="78.75">
      <c r="A317" s="141"/>
      <c r="B317" s="134"/>
      <c r="C317" s="132"/>
      <c r="D317" s="136"/>
      <c r="E317" s="141"/>
      <c r="F317" s="136"/>
      <c r="G317" s="138"/>
      <c r="H317" s="136"/>
      <c r="I317" s="134"/>
      <c r="J317" s="134"/>
      <c r="K317" s="134"/>
      <c r="L317" s="134"/>
      <c r="M317" s="134"/>
      <c r="N317" s="51" t="s">
        <v>38</v>
      </c>
      <c r="O317" s="40" t="s">
        <v>431</v>
      </c>
      <c r="P317" s="40" t="s">
        <v>430</v>
      </c>
      <c r="Q317" s="132"/>
      <c r="R317" s="132"/>
      <c r="S317" s="132"/>
      <c r="T317" s="132"/>
      <c r="U317" s="160"/>
      <c r="V317" s="132"/>
      <c r="W317" s="132"/>
      <c r="X317" s="132"/>
    </row>
    <row r="318" spans="1:24" ht="91.9">
      <c r="A318" s="141"/>
      <c r="B318" s="134"/>
      <c r="C318" s="133"/>
      <c r="D318" s="136"/>
      <c r="E318" s="141"/>
      <c r="F318" s="136"/>
      <c r="G318" s="139"/>
      <c r="H318" s="136"/>
      <c r="I318" s="134"/>
      <c r="J318" s="134"/>
      <c r="K318" s="134"/>
      <c r="L318" s="134"/>
      <c r="M318" s="134"/>
      <c r="N318" s="51" t="s">
        <v>39</v>
      </c>
      <c r="O318" s="40" t="s">
        <v>498</v>
      </c>
      <c r="P318" s="40" t="s">
        <v>473</v>
      </c>
      <c r="Q318" s="133"/>
      <c r="R318" s="133"/>
      <c r="S318" s="133"/>
      <c r="T318" s="133"/>
      <c r="U318" s="161"/>
      <c r="V318" s="133"/>
      <c r="W318" s="133"/>
      <c r="X318" s="133"/>
    </row>
    <row r="319" spans="1:24" ht="40.5" customHeight="1">
      <c r="A319" s="142">
        <v>106</v>
      </c>
      <c r="B319" s="134" t="s">
        <v>471</v>
      </c>
      <c r="C319" s="143" t="s">
        <v>1017</v>
      </c>
      <c r="D319" s="135" t="s">
        <v>682</v>
      </c>
      <c r="E319" s="141" t="s">
        <v>716</v>
      </c>
      <c r="F319" s="135" t="s">
        <v>682</v>
      </c>
      <c r="G319" s="137"/>
      <c r="H319" s="135" t="s">
        <v>978</v>
      </c>
      <c r="I319" s="134" t="s">
        <v>432</v>
      </c>
      <c r="J319" s="134" t="e">
        <f>#REF!</f>
        <v>#REF!</v>
      </c>
      <c r="K319" s="134" t="e">
        <f>#REF!</f>
        <v>#REF!</v>
      </c>
      <c r="L319" s="134" t="e">
        <f>#REF!</f>
        <v>#REF!</v>
      </c>
      <c r="M319" s="134" t="e">
        <f t="shared" ref="M319" si="208">IF(OR(L319&gt;6), "Non-acceptable","Acceptable")</f>
        <v>#REF!</v>
      </c>
      <c r="N319" s="51" t="s">
        <v>37</v>
      </c>
      <c r="O319" s="48" t="s">
        <v>270</v>
      </c>
      <c r="P319" s="42"/>
      <c r="Q319" s="131" t="e">
        <f>#REF!</f>
        <v>#REF!</v>
      </c>
      <c r="R319" s="131" t="e">
        <f>#REF!</f>
        <v>#REF!</v>
      </c>
      <c r="S319" s="131" t="e">
        <f>#REF!</f>
        <v>#REF!</v>
      </c>
      <c r="T319" s="131" t="e">
        <f t="shared" ref="T319" si="209">IF(OR(S319&gt;6), "Non-acceptable","Acceptable")</f>
        <v>#REF!</v>
      </c>
      <c r="U319" s="159" t="s">
        <v>776</v>
      </c>
      <c r="V319" s="131" t="s">
        <v>724</v>
      </c>
      <c r="W319" s="131" t="s">
        <v>725</v>
      </c>
      <c r="X319" s="131" t="s">
        <v>726</v>
      </c>
    </row>
    <row r="320" spans="1:24" ht="31.5" customHeight="1">
      <c r="A320" s="141"/>
      <c r="B320" s="134"/>
      <c r="C320" s="141"/>
      <c r="D320" s="136"/>
      <c r="E320" s="141"/>
      <c r="F320" s="136"/>
      <c r="G320" s="138"/>
      <c r="H320" s="136"/>
      <c r="I320" s="134"/>
      <c r="J320" s="134"/>
      <c r="K320" s="134"/>
      <c r="L320" s="134"/>
      <c r="M320" s="134"/>
      <c r="N320" s="51" t="s">
        <v>38</v>
      </c>
      <c r="O320" s="48" t="s">
        <v>577</v>
      </c>
      <c r="P320" s="42"/>
      <c r="Q320" s="132"/>
      <c r="R320" s="132"/>
      <c r="S320" s="132"/>
      <c r="T320" s="132"/>
      <c r="U320" s="160"/>
      <c r="V320" s="132"/>
      <c r="W320" s="132"/>
      <c r="X320" s="132"/>
    </row>
    <row r="321" spans="1:24" ht="196.9">
      <c r="A321" s="141"/>
      <c r="B321" s="134"/>
      <c r="C321" s="141"/>
      <c r="D321" s="136"/>
      <c r="E321" s="141"/>
      <c r="F321" s="136"/>
      <c r="G321" s="139"/>
      <c r="H321" s="136"/>
      <c r="I321" s="134"/>
      <c r="J321" s="134"/>
      <c r="K321" s="134"/>
      <c r="L321" s="134"/>
      <c r="M321" s="134"/>
      <c r="N321" s="51" t="s">
        <v>39</v>
      </c>
      <c r="O321" s="40" t="s">
        <v>580</v>
      </c>
      <c r="P321" s="40" t="s">
        <v>470</v>
      </c>
      <c r="Q321" s="133"/>
      <c r="R321" s="133"/>
      <c r="S321" s="133"/>
      <c r="T321" s="133"/>
      <c r="U321" s="161"/>
      <c r="V321" s="133"/>
      <c r="W321" s="133"/>
      <c r="X321" s="133"/>
    </row>
    <row r="322" spans="1:24" ht="42" customHeight="1">
      <c r="A322" s="142">
        <v>107</v>
      </c>
      <c r="B322" s="134" t="s">
        <v>471</v>
      </c>
      <c r="C322" s="148" t="s">
        <v>1018</v>
      </c>
      <c r="D322" s="135" t="s">
        <v>489</v>
      </c>
      <c r="E322" s="141" t="s">
        <v>716</v>
      </c>
      <c r="F322" s="135" t="s">
        <v>489</v>
      </c>
      <c r="G322" s="137"/>
      <c r="H322" s="135" t="s">
        <v>978</v>
      </c>
      <c r="I322" s="134" t="s">
        <v>432</v>
      </c>
      <c r="J322" s="134" t="e">
        <f>#REF!</f>
        <v>#REF!</v>
      </c>
      <c r="K322" s="134" t="e">
        <f>#REF!</f>
        <v>#REF!</v>
      </c>
      <c r="L322" s="134" t="e">
        <f>#REF!</f>
        <v>#REF!</v>
      </c>
      <c r="M322" s="134" t="e">
        <f t="shared" ref="M322" si="210">IF(OR(L322&gt;6), "Non-acceptable","Acceptable")</f>
        <v>#REF!</v>
      </c>
      <c r="N322" s="51" t="s">
        <v>37</v>
      </c>
      <c r="O322" s="48" t="s">
        <v>298</v>
      </c>
      <c r="P322" s="48"/>
      <c r="Q322" s="131" t="e">
        <f>#REF!</f>
        <v>#REF!</v>
      </c>
      <c r="R322" s="131" t="e">
        <f>#REF!</f>
        <v>#REF!</v>
      </c>
      <c r="S322" s="131" t="e">
        <f>#REF!</f>
        <v>#REF!</v>
      </c>
      <c r="T322" s="131" t="e">
        <f t="shared" ref="T322" si="211">IF(OR(S322&gt;6), "Non-acceptable","Acceptable")</f>
        <v>#REF!</v>
      </c>
      <c r="U322" s="159" t="s">
        <v>777</v>
      </c>
      <c r="V322" s="131" t="s">
        <v>724</v>
      </c>
      <c r="W322" s="131" t="s">
        <v>725</v>
      </c>
      <c r="X322" s="131" t="s">
        <v>726</v>
      </c>
    </row>
    <row r="323" spans="1:24" ht="78.75">
      <c r="A323" s="141"/>
      <c r="B323" s="134"/>
      <c r="C323" s="132"/>
      <c r="D323" s="136"/>
      <c r="E323" s="141"/>
      <c r="F323" s="136"/>
      <c r="G323" s="138"/>
      <c r="H323" s="136"/>
      <c r="I323" s="134"/>
      <c r="J323" s="134"/>
      <c r="K323" s="134"/>
      <c r="L323" s="134"/>
      <c r="M323" s="134"/>
      <c r="N323" s="51" t="s">
        <v>38</v>
      </c>
      <c r="O323" s="40" t="s">
        <v>431</v>
      </c>
      <c r="P323" s="40" t="s">
        <v>430</v>
      </c>
      <c r="Q323" s="132"/>
      <c r="R323" s="132"/>
      <c r="S323" s="132"/>
      <c r="T323" s="132"/>
      <c r="U323" s="160"/>
      <c r="V323" s="132"/>
      <c r="W323" s="132"/>
      <c r="X323" s="132"/>
    </row>
    <row r="324" spans="1:24" ht="157.5">
      <c r="A324" s="141"/>
      <c r="B324" s="134"/>
      <c r="C324" s="133"/>
      <c r="D324" s="136"/>
      <c r="E324" s="141"/>
      <c r="F324" s="136"/>
      <c r="G324" s="139"/>
      <c r="H324" s="136"/>
      <c r="I324" s="134"/>
      <c r="J324" s="134"/>
      <c r="K324" s="134"/>
      <c r="L324" s="134"/>
      <c r="M324" s="134"/>
      <c r="N324" s="51" t="s">
        <v>39</v>
      </c>
      <c r="O324" s="40" t="s">
        <v>497</v>
      </c>
      <c r="P324" s="40" t="s">
        <v>470</v>
      </c>
      <c r="Q324" s="133"/>
      <c r="R324" s="133"/>
      <c r="S324" s="133"/>
      <c r="T324" s="133"/>
      <c r="U324" s="161"/>
      <c r="V324" s="133"/>
      <c r="W324" s="133"/>
      <c r="X324" s="133"/>
    </row>
    <row r="325" spans="1:24" ht="40.5" customHeight="1">
      <c r="A325" s="142">
        <v>108</v>
      </c>
      <c r="B325" s="134" t="s">
        <v>469</v>
      </c>
      <c r="C325" s="143" t="s">
        <v>1017</v>
      </c>
      <c r="D325" s="135" t="s">
        <v>495</v>
      </c>
      <c r="E325" s="141" t="s">
        <v>716</v>
      </c>
      <c r="F325" s="135" t="s">
        <v>495</v>
      </c>
      <c r="G325" s="137"/>
      <c r="H325" s="135" t="s">
        <v>978</v>
      </c>
      <c r="I325" s="134" t="s">
        <v>432</v>
      </c>
      <c r="J325" s="134" t="e">
        <f>#REF!</f>
        <v>#REF!</v>
      </c>
      <c r="K325" s="134" t="e">
        <f>#REF!</f>
        <v>#REF!</v>
      </c>
      <c r="L325" s="134" t="e">
        <f>#REF!</f>
        <v>#REF!</v>
      </c>
      <c r="M325" s="134" t="e">
        <f t="shared" ref="M325" si="212">IF(OR(L325&gt;6), "Non-acceptable","Acceptable")</f>
        <v>#REF!</v>
      </c>
      <c r="N325" s="51" t="s">
        <v>37</v>
      </c>
      <c r="O325" s="48" t="s">
        <v>270</v>
      </c>
      <c r="P325" s="42"/>
      <c r="Q325" s="131" t="e">
        <f>#REF!</f>
        <v>#REF!</v>
      </c>
      <c r="R325" s="131" t="e">
        <f>#REF!</f>
        <v>#REF!</v>
      </c>
      <c r="S325" s="131" t="e">
        <f>#REF!</f>
        <v>#REF!</v>
      </c>
      <c r="T325" s="131" t="e">
        <f t="shared" ref="T325" si="213">IF(OR(S325&gt;6), "Non-acceptable","Acceptable")</f>
        <v>#REF!</v>
      </c>
      <c r="U325" s="159" t="s">
        <v>778</v>
      </c>
      <c r="V325" s="131" t="s">
        <v>724</v>
      </c>
      <c r="W325" s="131" t="s">
        <v>725</v>
      </c>
      <c r="X325" s="131" t="s">
        <v>726</v>
      </c>
    </row>
    <row r="326" spans="1:24" ht="31.5" customHeight="1">
      <c r="A326" s="141"/>
      <c r="B326" s="134"/>
      <c r="C326" s="141"/>
      <c r="D326" s="136"/>
      <c r="E326" s="141"/>
      <c r="F326" s="136"/>
      <c r="G326" s="138"/>
      <c r="H326" s="136"/>
      <c r="I326" s="134"/>
      <c r="J326" s="134"/>
      <c r="K326" s="134"/>
      <c r="L326" s="134"/>
      <c r="M326" s="134"/>
      <c r="N326" s="51" t="s">
        <v>38</v>
      </c>
      <c r="O326" s="48" t="s">
        <v>577</v>
      </c>
      <c r="P326" s="42"/>
      <c r="Q326" s="132"/>
      <c r="R326" s="132"/>
      <c r="S326" s="132"/>
      <c r="T326" s="132"/>
      <c r="U326" s="160"/>
      <c r="V326" s="132"/>
      <c r="W326" s="132"/>
      <c r="X326" s="132"/>
    </row>
    <row r="327" spans="1:24" ht="168.75" customHeight="1">
      <c r="A327" s="141"/>
      <c r="B327" s="134"/>
      <c r="C327" s="141"/>
      <c r="D327" s="136"/>
      <c r="E327" s="141"/>
      <c r="F327" s="136"/>
      <c r="G327" s="139"/>
      <c r="H327" s="136"/>
      <c r="I327" s="134"/>
      <c r="J327" s="134"/>
      <c r="K327" s="134"/>
      <c r="L327" s="134"/>
      <c r="M327" s="134"/>
      <c r="N327" s="51" t="s">
        <v>39</v>
      </c>
      <c r="O327" s="40" t="s">
        <v>581</v>
      </c>
      <c r="P327" s="40" t="s">
        <v>470</v>
      </c>
      <c r="Q327" s="133"/>
      <c r="R327" s="133"/>
      <c r="S327" s="133"/>
      <c r="T327" s="133"/>
      <c r="U327" s="161"/>
      <c r="V327" s="133"/>
      <c r="W327" s="133"/>
      <c r="X327" s="133"/>
    </row>
    <row r="328" spans="1:24" ht="33.75" customHeight="1">
      <c r="A328" s="142">
        <v>109</v>
      </c>
      <c r="B328" s="134" t="s">
        <v>469</v>
      </c>
      <c r="C328" s="148" t="s">
        <v>1018</v>
      </c>
      <c r="D328" s="135" t="s">
        <v>491</v>
      </c>
      <c r="E328" s="141" t="s">
        <v>716</v>
      </c>
      <c r="F328" s="135" t="s">
        <v>491</v>
      </c>
      <c r="G328" s="137"/>
      <c r="H328" s="135" t="s">
        <v>978</v>
      </c>
      <c r="I328" s="134" t="s">
        <v>432</v>
      </c>
      <c r="J328" s="134" t="e">
        <f>#REF!</f>
        <v>#REF!</v>
      </c>
      <c r="K328" s="134" t="e">
        <f>#REF!</f>
        <v>#REF!</v>
      </c>
      <c r="L328" s="134" t="e">
        <f>#REF!</f>
        <v>#REF!</v>
      </c>
      <c r="M328" s="134" t="e">
        <f t="shared" ref="M328" si="214">IF(OR(L328&gt;6), "Non-acceptable","Acceptable")</f>
        <v>#REF!</v>
      </c>
      <c r="N328" s="51" t="s">
        <v>37</v>
      </c>
      <c r="O328" s="48" t="s">
        <v>298</v>
      </c>
      <c r="P328" s="48"/>
      <c r="Q328" s="131" t="e">
        <f>#REF!</f>
        <v>#REF!</v>
      </c>
      <c r="R328" s="131" t="e">
        <f>#REF!</f>
        <v>#REF!</v>
      </c>
      <c r="S328" s="131" t="e">
        <f>#REF!</f>
        <v>#REF!</v>
      </c>
      <c r="T328" s="131" t="e">
        <f t="shared" ref="T328" si="215">IF(OR(S328&gt;6), "Non-acceptable","Acceptable")</f>
        <v>#REF!</v>
      </c>
      <c r="U328" s="159" t="s">
        <v>779</v>
      </c>
      <c r="V328" s="131" t="s">
        <v>724</v>
      </c>
      <c r="W328" s="131" t="s">
        <v>725</v>
      </c>
      <c r="X328" s="131" t="s">
        <v>726</v>
      </c>
    </row>
    <row r="329" spans="1:24" ht="78.75">
      <c r="A329" s="141"/>
      <c r="B329" s="134"/>
      <c r="C329" s="132"/>
      <c r="D329" s="136"/>
      <c r="E329" s="141"/>
      <c r="F329" s="136"/>
      <c r="G329" s="138"/>
      <c r="H329" s="136"/>
      <c r="I329" s="134"/>
      <c r="J329" s="134"/>
      <c r="K329" s="134"/>
      <c r="L329" s="134"/>
      <c r="M329" s="134"/>
      <c r="N329" s="51" t="s">
        <v>38</v>
      </c>
      <c r="O329" s="40" t="s">
        <v>431</v>
      </c>
      <c r="P329" s="40" t="s">
        <v>430</v>
      </c>
      <c r="Q329" s="132"/>
      <c r="R329" s="132"/>
      <c r="S329" s="132"/>
      <c r="T329" s="132"/>
      <c r="U329" s="160"/>
      <c r="V329" s="132"/>
      <c r="W329" s="132"/>
      <c r="X329" s="132"/>
    </row>
    <row r="330" spans="1:24" ht="144.4">
      <c r="A330" s="141"/>
      <c r="B330" s="134"/>
      <c r="C330" s="133"/>
      <c r="D330" s="136"/>
      <c r="E330" s="141"/>
      <c r="F330" s="136"/>
      <c r="G330" s="139"/>
      <c r="H330" s="136"/>
      <c r="I330" s="134"/>
      <c r="J330" s="134"/>
      <c r="K330" s="134"/>
      <c r="L330" s="134"/>
      <c r="M330" s="134"/>
      <c r="N330" s="51" t="s">
        <v>39</v>
      </c>
      <c r="O330" s="40" t="s">
        <v>496</v>
      </c>
      <c r="P330" s="40" t="s">
        <v>470</v>
      </c>
      <c r="Q330" s="133"/>
      <c r="R330" s="133"/>
      <c r="S330" s="133"/>
      <c r="T330" s="133"/>
      <c r="U330" s="161"/>
      <c r="V330" s="133"/>
      <c r="W330" s="133"/>
      <c r="X330" s="133"/>
    </row>
    <row r="331" spans="1:24" ht="50.25" customHeight="1">
      <c r="A331" s="142">
        <v>110</v>
      </c>
      <c r="B331" s="134" t="s">
        <v>476</v>
      </c>
      <c r="C331" s="143" t="s">
        <v>1010</v>
      </c>
      <c r="D331" s="135" t="s">
        <v>1038</v>
      </c>
      <c r="E331" s="141" t="s">
        <v>716</v>
      </c>
      <c r="F331" s="135" t="s">
        <v>1038</v>
      </c>
      <c r="G331" s="137"/>
      <c r="H331" s="135" t="s">
        <v>356</v>
      </c>
      <c r="I331" s="134" t="s">
        <v>355</v>
      </c>
      <c r="J331" s="134" t="e">
        <f>#REF!</f>
        <v>#REF!</v>
      </c>
      <c r="K331" s="134" t="e">
        <f>#REF!</f>
        <v>#REF!</v>
      </c>
      <c r="L331" s="134" t="e">
        <f>#REF!</f>
        <v>#REF!</v>
      </c>
      <c r="M331" s="134" t="e">
        <f t="shared" ref="M331" si="216">IF(OR(L331&gt;6), "Non-acceptable","Acceptable")</f>
        <v>#REF!</v>
      </c>
      <c r="N331" s="51" t="s">
        <v>37</v>
      </c>
      <c r="O331" s="40" t="s">
        <v>582</v>
      </c>
      <c r="P331" s="40" t="s">
        <v>583</v>
      </c>
      <c r="Q331" s="131" t="e">
        <f>#REF!</f>
        <v>#REF!</v>
      </c>
      <c r="R331" s="131" t="e">
        <f>#REF!</f>
        <v>#REF!</v>
      </c>
      <c r="S331" s="131" t="e">
        <f>#REF!</f>
        <v>#REF!</v>
      </c>
      <c r="T331" s="131" t="e">
        <f t="shared" ref="T331" si="217">IF(OR(S331&gt;6), "Non-acceptable","Acceptable")</f>
        <v>#REF!</v>
      </c>
      <c r="U331" s="159" t="s">
        <v>780</v>
      </c>
      <c r="V331" s="131" t="s">
        <v>724</v>
      </c>
      <c r="W331" s="131" t="s">
        <v>725</v>
      </c>
      <c r="X331" s="131" t="s">
        <v>726</v>
      </c>
    </row>
    <row r="332" spans="1:24" ht="112.5" customHeight="1">
      <c r="A332" s="141"/>
      <c r="B332" s="134"/>
      <c r="C332" s="141"/>
      <c r="D332" s="136"/>
      <c r="E332" s="141"/>
      <c r="F332" s="136"/>
      <c r="G332" s="138"/>
      <c r="H332" s="136"/>
      <c r="I332" s="134"/>
      <c r="J332" s="134"/>
      <c r="K332" s="134"/>
      <c r="L332" s="134"/>
      <c r="M332" s="134"/>
      <c r="N332" s="51" t="s">
        <v>38</v>
      </c>
      <c r="O332" s="40" t="s">
        <v>1039</v>
      </c>
      <c r="P332" s="40" t="s">
        <v>584</v>
      </c>
      <c r="Q332" s="132"/>
      <c r="R332" s="132"/>
      <c r="S332" s="132"/>
      <c r="T332" s="132"/>
      <c r="U332" s="160"/>
      <c r="V332" s="132"/>
      <c r="W332" s="132"/>
      <c r="X332" s="132"/>
    </row>
    <row r="333" spans="1:24" ht="96.75" customHeight="1">
      <c r="A333" s="141"/>
      <c r="B333" s="134"/>
      <c r="C333" s="141"/>
      <c r="D333" s="136"/>
      <c r="E333" s="141"/>
      <c r="F333" s="136"/>
      <c r="G333" s="139"/>
      <c r="H333" s="136"/>
      <c r="I333" s="134"/>
      <c r="J333" s="134"/>
      <c r="K333" s="134"/>
      <c r="L333" s="134"/>
      <c r="M333" s="134"/>
      <c r="N333" s="51" t="s">
        <v>39</v>
      </c>
      <c r="O333" s="40" t="s">
        <v>979</v>
      </c>
      <c r="P333" s="40" t="s">
        <v>980</v>
      </c>
      <c r="Q333" s="133"/>
      <c r="R333" s="133"/>
      <c r="S333" s="133"/>
      <c r="T333" s="133"/>
      <c r="U333" s="161"/>
      <c r="V333" s="133"/>
      <c r="W333" s="133"/>
      <c r="X333" s="133"/>
    </row>
    <row r="334" spans="1:24" ht="40.5" customHeight="1">
      <c r="A334" s="142">
        <v>111</v>
      </c>
      <c r="B334" s="131" t="s">
        <v>346</v>
      </c>
      <c r="C334" s="134" t="s">
        <v>1040</v>
      </c>
      <c r="D334" s="135" t="s">
        <v>814</v>
      </c>
      <c r="E334" s="141" t="s">
        <v>40</v>
      </c>
      <c r="F334" s="135" t="s">
        <v>981</v>
      </c>
      <c r="G334" s="137"/>
      <c r="H334" s="136" t="s">
        <v>685</v>
      </c>
      <c r="I334" s="134" t="s">
        <v>347</v>
      </c>
      <c r="J334" s="134" t="e">
        <f>#REF!</f>
        <v>#REF!</v>
      </c>
      <c r="K334" s="134" t="e">
        <f>#REF!</f>
        <v>#REF!</v>
      </c>
      <c r="L334" s="134" t="e">
        <f>#REF!</f>
        <v>#REF!</v>
      </c>
      <c r="M334" s="134" t="e">
        <f t="shared" ref="M334" si="218">IF(OR(L334&gt;6), "Non-acceptable","Acceptable")</f>
        <v>#REF!</v>
      </c>
      <c r="N334" s="51" t="s">
        <v>37</v>
      </c>
      <c r="O334" s="48" t="s">
        <v>270</v>
      </c>
      <c r="P334" s="42"/>
      <c r="Q334" s="131" t="e">
        <f>#REF!</f>
        <v>#REF!</v>
      </c>
      <c r="R334" s="131" t="e">
        <f>#REF!</f>
        <v>#REF!</v>
      </c>
      <c r="S334" s="131" t="e">
        <f>#REF!</f>
        <v>#REF!</v>
      </c>
      <c r="T334" s="131" t="e">
        <f t="shared" ref="T334" si="219">IF(OR(S334&gt;6), "Non-acceptable","Acceptable")</f>
        <v>#REF!</v>
      </c>
      <c r="U334" s="159" t="s">
        <v>781</v>
      </c>
      <c r="V334" s="131" t="s">
        <v>724</v>
      </c>
      <c r="W334" s="131" t="s">
        <v>725</v>
      </c>
      <c r="X334" s="131" t="s">
        <v>726</v>
      </c>
    </row>
    <row r="335" spans="1:24" ht="33" customHeight="1">
      <c r="A335" s="141"/>
      <c r="B335" s="132"/>
      <c r="C335" s="141"/>
      <c r="D335" s="136"/>
      <c r="E335" s="141"/>
      <c r="F335" s="136"/>
      <c r="G335" s="138"/>
      <c r="H335" s="136"/>
      <c r="I335" s="134"/>
      <c r="J335" s="134"/>
      <c r="K335" s="134"/>
      <c r="L335" s="134"/>
      <c r="M335" s="134"/>
      <c r="N335" s="51" t="s">
        <v>38</v>
      </c>
      <c r="O335" s="48" t="s">
        <v>577</v>
      </c>
      <c r="P335" s="42"/>
      <c r="Q335" s="132"/>
      <c r="R335" s="132"/>
      <c r="S335" s="132"/>
      <c r="T335" s="132"/>
      <c r="U335" s="160"/>
      <c r="V335" s="132"/>
      <c r="W335" s="132"/>
      <c r="X335" s="132"/>
    </row>
    <row r="336" spans="1:24" ht="147" customHeight="1">
      <c r="A336" s="141"/>
      <c r="B336" s="133"/>
      <c r="C336" s="141"/>
      <c r="D336" s="136"/>
      <c r="E336" s="141"/>
      <c r="F336" s="136"/>
      <c r="G336" s="139"/>
      <c r="H336" s="136"/>
      <c r="I336" s="134"/>
      <c r="J336" s="134"/>
      <c r="K336" s="134"/>
      <c r="L336" s="134"/>
      <c r="M336" s="134"/>
      <c r="N336" s="51" t="s">
        <v>39</v>
      </c>
      <c r="O336" s="40" t="s">
        <v>1041</v>
      </c>
      <c r="P336" s="40" t="s">
        <v>982</v>
      </c>
      <c r="Q336" s="133"/>
      <c r="R336" s="133"/>
      <c r="S336" s="133"/>
      <c r="T336" s="133"/>
      <c r="U336" s="161"/>
      <c r="V336" s="133"/>
      <c r="W336" s="133"/>
      <c r="X336" s="133"/>
    </row>
    <row r="337" spans="1:24" ht="39.75" customHeight="1">
      <c r="A337" s="142">
        <v>112</v>
      </c>
      <c r="B337" s="134" t="s">
        <v>475</v>
      </c>
      <c r="C337" s="143" t="s">
        <v>1017</v>
      </c>
      <c r="D337" s="135" t="s">
        <v>815</v>
      </c>
      <c r="E337" s="141" t="s">
        <v>40</v>
      </c>
      <c r="F337" s="135" t="s">
        <v>983</v>
      </c>
      <c r="G337" s="137"/>
      <c r="H337" s="136" t="s">
        <v>684</v>
      </c>
      <c r="I337" s="134" t="s">
        <v>360</v>
      </c>
      <c r="J337" s="134" t="e">
        <f>#REF!</f>
        <v>#REF!</v>
      </c>
      <c r="K337" s="134" t="e">
        <f>#REF!</f>
        <v>#REF!</v>
      </c>
      <c r="L337" s="134" t="e">
        <f>#REF!</f>
        <v>#REF!</v>
      </c>
      <c r="M337" s="134" t="e">
        <f t="shared" ref="M337" si="220">IF(OR(L337&gt;6), "Non-acceptable","Acceptable")</f>
        <v>#REF!</v>
      </c>
      <c r="N337" s="51" t="s">
        <v>37</v>
      </c>
      <c r="O337" s="48" t="s">
        <v>270</v>
      </c>
      <c r="P337" s="42"/>
      <c r="Q337" s="131" t="e">
        <f>#REF!</f>
        <v>#REF!</v>
      </c>
      <c r="R337" s="131" t="e">
        <f>#REF!</f>
        <v>#REF!</v>
      </c>
      <c r="S337" s="131" t="e">
        <f>#REF!</f>
        <v>#REF!</v>
      </c>
      <c r="T337" s="131" t="e">
        <f t="shared" ref="T337" si="221">IF(OR(S337&gt;6), "Non-acceptable","Acceptable")</f>
        <v>#REF!</v>
      </c>
      <c r="U337" s="159" t="s">
        <v>782</v>
      </c>
      <c r="V337" s="131" t="s">
        <v>724</v>
      </c>
      <c r="W337" s="131" t="s">
        <v>725</v>
      </c>
      <c r="X337" s="131" t="s">
        <v>726</v>
      </c>
    </row>
    <row r="338" spans="1:24" ht="26.25">
      <c r="A338" s="141"/>
      <c r="B338" s="134"/>
      <c r="C338" s="141"/>
      <c r="D338" s="136"/>
      <c r="E338" s="141"/>
      <c r="F338" s="136"/>
      <c r="G338" s="138"/>
      <c r="H338" s="136"/>
      <c r="I338" s="134"/>
      <c r="J338" s="134"/>
      <c r="K338" s="134"/>
      <c r="L338" s="134"/>
      <c r="M338" s="134"/>
      <c r="N338" s="51" t="s">
        <v>38</v>
      </c>
      <c r="O338" s="48" t="s">
        <v>272</v>
      </c>
      <c r="P338" s="42"/>
      <c r="Q338" s="132"/>
      <c r="R338" s="132"/>
      <c r="S338" s="132"/>
      <c r="T338" s="132"/>
      <c r="U338" s="160"/>
      <c r="V338" s="132"/>
      <c r="W338" s="132"/>
      <c r="X338" s="132"/>
    </row>
    <row r="339" spans="1:24" ht="200.25" customHeight="1">
      <c r="A339" s="141"/>
      <c r="B339" s="134"/>
      <c r="C339" s="141"/>
      <c r="D339" s="136"/>
      <c r="E339" s="141"/>
      <c r="F339" s="136"/>
      <c r="G339" s="139"/>
      <c r="H339" s="136"/>
      <c r="I339" s="134"/>
      <c r="J339" s="134"/>
      <c r="K339" s="134"/>
      <c r="L339" s="134"/>
      <c r="M339" s="134"/>
      <c r="N339" s="51" t="s">
        <v>39</v>
      </c>
      <c r="O339" s="40" t="s">
        <v>1042</v>
      </c>
      <c r="P339" s="40" t="s">
        <v>856</v>
      </c>
      <c r="Q339" s="133"/>
      <c r="R339" s="133"/>
      <c r="S339" s="133"/>
      <c r="T339" s="133"/>
      <c r="U339" s="161"/>
      <c r="V339" s="133"/>
      <c r="W339" s="133"/>
      <c r="X339" s="133"/>
    </row>
    <row r="340" spans="1:24" ht="41.25" customHeight="1">
      <c r="A340" s="142">
        <v>113</v>
      </c>
      <c r="B340" s="134" t="s">
        <v>475</v>
      </c>
      <c r="C340" s="143" t="s">
        <v>1017</v>
      </c>
      <c r="D340" s="135" t="s">
        <v>816</v>
      </c>
      <c r="E340" s="141" t="s">
        <v>40</v>
      </c>
      <c r="F340" s="135" t="s">
        <v>984</v>
      </c>
      <c r="G340" s="137"/>
      <c r="H340" s="135" t="s">
        <v>985</v>
      </c>
      <c r="I340" s="134" t="s">
        <v>363</v>
      </c>
      <c r="J340" s="134" t="e">
        <f>#REF!</f>
        <v>#REF!</v>
      </c>
      <c r="K340" s="134" t="e">
        <f>#REF!</f>
        <v>#REF!</v>
      </c>
      <c r="L340" s="134" t="e">
        <f>#REF!</f>
        <v>#REF!</v>
      </c>
      <c r="M340" s="134" t="e">
        <f t="shared" ref="M340" si="222">IF(OR(L340&gt;6), "Non-acceptable","Acceptable")</f>
        <v>#REF!</v>
      </c>
      <c r="N340" s="51" t="s">
        <v>37</v>
      </c>
      <c r="O340" s="48" t="s">
        <v>270</v>
      </c>
      <c r="P340" s="42"/>
      <c r="Q340" s="131" t="e">
        <f>#REF!</f>
        <v>#REF!</v>
      </c>
      <c r="R340" s="131" t="e">
        <f>#REF!</f>
        <v>#REF!</v>
      </c>
      <c r="S340" s="131" t="e">
        <f>#REF!</f>
        <v>#REF!</v>
      </c>
      <c r="T340" s="131" t="e">
        <f t="shared" ref="T340" si="223">IF(OR(S340&gt;6), "Non-acceptable","Acceptable")</f>
        <v>#REF!</v>
      </c>
      <c r="U340" s="159" t="s">
        <v>783</v>
      </c>
      <c r="V340" s="131" t="s">
        <v>724</v>
      </c>
      <c r="W340" s="131" t="s">
        <v>725</v>
      </c>
      <c r="X340" s="131" t="s">
        <v>726</v>
      </c>
    </row>
    <row r="341" spans="1:24" ht="30" customHeight="1">
      <c r="A341" s="141"/>
      <c r="B341" s="134"/>
      <c r="C341" s="141"/>
      <c r="D341" s="136"/>
      <c r="E341" s="141"/>
      <c r="F341" s="136"/>
      <c r="G341" s="138"/>
      <c r="H341" s="136"/>
      <c r="I341" s="134"/>
      <c r="J341" s="134"/>
      <c r="K341" s="134"/>
      <c r="L341" s="134"/>
      <c r="M341" s="134"/>
      <c r="N341" s="51" t="s">
        <v>38</v>
      </c>
      <c r="O341" s="48" t="s">
        <v>508</v>
      </c>
      <c r="P341" s="42"/>
      <c r="Q341" s="132"/>
      <c r="R341" s="132"/>
      <c r="S341" s="132"/>
      <c r="T341" s="132"/>
      <c r="U341" s="160"/>
      <c r="V341" s="132"/>
      <c r="W341" s="132"/>
      <c r="X341" s="132"/>
    </row>
    <row r="342" spans="1:24" ht="198.75" customHeight="1">
      <c r="A342" s="141"/>
      <c r="B342" s="134"/>
      <c r="C342" s="141"/>
      <c r="D342" s="136"/>
      <c r="E342" s="141"/>
      <c r="F342" s="136"/>
      <c r="G342" s="139"/>
      <c r="H342" s="136"/>
      <c r="I342" s="134"/>
      <c r="J342" s="134"/>
      <c r="K342" s="134"/>
      <c r="L342" s="134"/>
      <c r="M342" s="134"/>
      <c r="N342" s="51" t="s">
        <v>39</v>
      </c>
      <c r="O342" s="40" t="s">
        <v>1043</v>
      </c>
      <c r="P342" s="40" t="s">
        <v>856</v>
      </c>
      <c r="Q342" s="133"/>
      <c r="R342" s="133"/>
      <c r="S342" s="133"/>
      <c r="T342" s="133"/>
      <c r="U342" s="161"/>
      <c r="V342" s="133"/>
      <c r="W342" s="133"/>
      <c r="X342" s="133"/>
    </row>
    <row r="343" spans="1:24" ht="33.75" customHeight="1">
      <c r="A343" s="142">
        <v>114</v>
      </c>
      <c r="B343" s="134" t="s">
        <v>429</v>
      </c>
      <c r="C343" s="134" t="s">
        <v>1044</v>
      </c>
      <c r="D343" s="145" t="s">
        <v>683</v>
      </c>
      <c r="E343" s="141" t="s">
        <v>716</v>
      </c>
      <c r="F343" s="145" t="s">
        <v>683</v>
      </c>
      <c r="G343" s="137"/>
      <c r="H343" s="136" t="s">
        <v>684</v>
      </c>
      <c r="I343" s="134" t="s">
        <v>304</v>
      </c>
      <c r="J343" s="134" t="e">
        <f>#REF!</f>
        <v>#REF!</v>
      </c>
      <c r="K343" s="134" t="e">
        <f>#REF!</f>
        <v>#REF!</v>
      </c>
      <c r="L343" s="134" t="e">
        <f>#REF!</f>
        <v>#REF!</v>
      </c>
      <c r="M343" s="134" t="e">
        <f t="shared" ref="M343" si="224">IF(OR(L343&gt;6), "Non-acceptable","Acceptable")</f>
        <v>#REF!</v>
      </c>
      <c r="N343" s="51" t="s">
        <v>37</v>
      </c>
      <c r="O343" s="48" t="s">
        <v>327</v>
      </c>
      <c r="P343" s="40"/>
      <c r="Q343" s="131" t="e">
        <f>#REF!</f>
        <v>#REF!</v>
      </c>
      <c r="R343" s="131" t="e">
        <f>#REF!</f>
        <v>#REF!</v>
      </c>
      <c r="S343" s="131" t="e">
        <f>#REF!</f>
        <v>#REF!</v>
      </c>
      <c r="T343" s="131" t="e">
        <f t="shared" ref="T343" si="225">IF(OR(S343&gt;6), "Non-acceptable","Acceptable")</f>
        <v>#REF!</v>
      </c>
      <c r="U343" s="159" t="s">
        <v>784</v>
      </c>
      <c r="V343" s="131" t="s">
        <v>724</v>
      </c>
      <c r="W343" s="131" t="s">
        <v>725</v>
      </c>
      <c r="X343" s="131" t="s">
        <v>726</v>
      </c>
    </row>
    <row r="344" spans="1:24" ht="65.650000000000006">
      <c r="A344" s="141"/>
      <c r="B344" s="134"/>
      <c r="C344" s="134"/>
      <c r="D344" s="146"/>
      <c r="E344" s="141"/>
      <c r="F344" s="146"/>
      <c r="G344" s="138"/>
      <c r="H344" s="136"/>
      <c r="I344" s="134"/>
      <c r="J344" s="134"/>
      <c r="K344" s="134"/>
      <c r="L344" s="134"/>
      <c r="M344" s="134"/>
      <c r="N344" s="51" t="s">
        <v>38</v>
      </c>
      <c r="O344" s="40" t="s">
        <v>585</v>
      </c>
      <c r="P344" s="40" t="s">
        <v>430</v>
      </c>
      <c r="Q344" s="132"/>
      <c r="R344" s="132"/>
      <c r="S344" s="132"/>
      <c r="T344" s="132"/>
      <c r="U344" s="160"/>
      <c r="V344" s="132"/>
      <c r="W344" s="132"/>
      <c r="X344" s="132"/>
    </row>
    <row r="345" spans="1:24" ht="212.25" customHeight="1">
      <c r="A345" s="141"/>
      <c r="B345" s="134"/>
      <c r="C345" s="134"/>
      <c r="D345" s="147"/>
      <c r="E345" s="141"/>
      <c r="F345" s="147"/>
      <c r="G345" s="139"/>
      <c r="H345" s="136"/>
      <c r="I345" s="134"/>
      <c r="J345" s="134"/>
      <c r="K345" s="134"/>
      <c r="L345" s="134"/>
      <c r="M345" s="134"/>
      <c r="N345" s="51" t="s">
        <v>39</v>
      </c>
      <c r="O345" s="40" t="s">
        <v>986</v>
      </c>
      <c r="P345" s="40" t="s">
        <v>975</v>
      </c>
      <c r="Q345" s="133"/>
      <c r="R345" s="133"/>
      <c r="S345" s="133"/>
      <c r="T345" s="133"/>
      <c r="U345" s="161"/>
      <c r="V345" s="133"/>
      <c r="W345" s="133"/>
      <c r="X345" s="133"/>
    </row>
    <row r="346" spans="1:24" ht="42" customHeight="1">
      <c r="A346" s="142">
        <v>115</v>
      </c>
      <c r="B346" s="131" t="s">
        <v>277</v>
      </c>
      <c r="C346" s="134" t="s">
        <v>1040</v>
      </c>
      <c r="D346" s="145" t="s">
        <v>817</v>
      </c>
      <c r="E346" s="141" t="s">
        <v>40</v>
      </c>
      <c r="F346" s="145" t="s">
        <v>987</v>
      </c>
      <c r="G346" s="137"/>
      <c r="H346" s="153" t="s">
        <v>686</v>
      </c>
      <c r="I346" s="134" t="s">
        <v>344</v>
      </c>
      <c r="J346" s="134" t="e">
        <f>#REF!</f>
        <v>#REF!</v>
      </c>
      <c r="K346" s="134" t="e">
        <f>#REF!</f>
        <v>#REF!</v>
      </c>
      <c r="L346" s="134" t="e">
        <f>#REF!</f>
        <v>#REF!</v>
      </c>
      <c r="M346" s="134" t="e">
        <f t="shared" ref="M346" si="226">IF(OR(L346&gt;6), "Non-acceptable","Acceptable")</f>
        <v>#REF!</v>
      </c>
      <c r="N346" s="51" t="s">
        <v>37</v>
      </c>
      <c r="O346" s="48" t="s">
        <v>270</v>
      </c>
      <c r="P346" s="42"/>
      <c r="Q346" s="131" t="e">
        <f>#REF!</f>
        <v>#REF!</v>
      </c>
      <c r="R346" s="131" t="e">
        <f>#REF!</f>
        <v>#REF!</v>
      </c>
      <c r="S346" s="131" t="e">
        <f>#REF!</f>
        <v>#REF!</v>
      </c>
      <c r="T346" s="131" t="e">
        <f t="shared" ref="T346" si="227">IF(OR(S346&gt;6), "Non-acceptable","Acceptable")</f>
        <v>#REF!</v>
      </c>
      <c r="U346" s="159" t="s">
        <v>785</v>
      </c>
      <c r="V346" s="131" t="s">
        <v>724</v>
      </c>
      <c r="W346" s="131" t="s">
        <v>725</v>
      </c>
      <c r="X346" s="131" t="s">
        <v>726</v>
      </c>
    </row>
    <row r="347" spans="1:24" ht="31.5" customHeight="1">
      <c r="A347" s="141"/>
      <c r="B347" s="132"/>
      <c r="C347" s="141"/>
      <c r="D347" s="146"/>
      <c r="E347" s="141"/>
      <c r="F347" s="146"/>
      <c r="G347" s="138"/>
      <c r="H347" s="154"/>
      <c r="I347" s="134"/>
      <c r="J347" s="134"/>
      <c r="K347" s="134"/>
      <c r="L347" s="134"/>
      <c r="M347" s="134"/>
      <c r="N347" s="51" t="s">
        <v>38</v>
      </c>
      <c r="O347" s="48" t="s">
        <v>577</v>
      </c>
      <c r="P347" s="42"/>
      <c r="Q347" s="132"/>
      <c r="R347" s="132"/>
      <c r="S347" s="132"/>
      <c r="T347" s="132"/>
      <c r="U347" s="160"/>
      <c r="V347" s="132"/>
      <c r="W347" s="132"/>
      <c r="X347" s="132"/>
    </row>
    <row r="348" spans="1:24" ht="88.5" customHeight="1">
      <c r="A348" s="141"/>
      <c r="B348" s="133"/>
      <c r="C348" s="141"/>
      <c r="D348" s="147"/>
      <c r="E348" s="141"/>
      <c r="F348" s="147"/>
      <c r="G348" s="139"/>
      <c r="H348" s="155"/>
      <c r="I348" s="134"/>
      <c r="J348" s="134"/>
      <c r="K348" s="134"/>
      <c r="L348" s="134"/>
      <c r="M348" s="134"/>
      <c r="N348" s="51" t="s">
        <v>39</v>
      </c>
      <c r="O348" s="40" t="s">
        <v>988</v>
      </c>
      <c r="P348" s="40" t="s">
        <v>345</v>
      </c>
      <c r="Q348" s="133"/>
      <c r="R348" s="133"/>
      <c r="S348" s="133"/>
      <c r="T348" s="133"/>
      <c r="U348" s="161"/>
      <c r="V348" s="133"/>
      <c r="W348" s="133"/>
      <c r="X348" s="133"/>
    </row>
    <row r="349" spans="1:24" ht="39.75" customHeight="1">
      <c r="A349" s="142">
        <v>116</v>
      </c>
      <c r="B349" s="134" t="s">
        <v>277</v>
      </c>
      <c r="C349" s="134" t="s">
        <v>1040</v>
      </c>
      <c r="D349" s="145" t="s">
        <v>687</v>
      </c>
      <c r="E349" s="141" t="s">
        <v>40</v>
      </c>
      <c r="F349" s="145" t="s">
        <v>687</v>
      </c>
      <c r="G349" s="137"/>
      <c r="H349" s="136" t="s">
        <v>649</v>
      </c>
      <c r="I349" s="134" t="s">
        <v>344</v>
      </c>
      <c r="J349" s="134" t="e">
        <f>#REF!</f>
        <v>#REF!</v>
      </c>
      <c r="K349" s="134" t="e">
        <f>#REF!</f>
        <v>#REF!</v>
      </c>
      <c r="L349" s="134" t="e">
        <f>#REF!</f>
        <v>#REF!</v>
      </c>
      <c r="M349" s="134" t="e">
        <f t="shared" ref="M349" si="228">IF(OR(L349&gt;6), "Non-acceptable","Acceptable")</f>
        <v>#REF!</v>
      </c>
      <c r="N349" s="51" t="s">
        <v>37</v>
      </c>
      <c r="O349" s="48" t="s">
        <v>270</v>
      </c>
      <c r="P349" s="42"/>
      <c r="Q349" s="131" t="e">
        <f>#REF!</f>
        <v>#REF!</v>
      </c>
      <c r="R349" s="131" t="e">
        <f>#REF!</f>
        <v>#REF!</v>
      </c>
      <c r="S349" s="131" t="e">
        <f>#REF!</f>
        <v>#REF!</v>
      </c>
      <c r="T349" s="131" t="e">
        <f t="shared" ref="T349" si="229">IF(OR(S349&gt;6), "Non-acceptable","Acceptable")</f>
        <v>#REF!</v>
      </c>
      <c r="U349" s="159" t="s">
        <v>786</v>
      </c>
      <c r="V349" s="131" t="s">
        <v>724</v>
      </c>
      <c r="W349" s="131" t="s">
        <v>797</v>
      </c>
      <c r="X349" s="131" t="s">
        <v>726</v>
      </c>
    </row>
    <row r="350" spans="1:24" ht="30.75" customHeight="1">
      <c r="A350" s="141"/>
      <c r="B350" s="134"/>
      <c r="C350" s="141"/>
      <c r="D350" s="146"/>
      <c r="E350" s="141"/>
      <c r="F350" s="146"/>
      <c r="G350" s="138"/>
      <c r="H350" s="136"/>
      <c r="I350" s="134"/>
      <c r="J350" s="134"/>
      <c r="K350" s="134"/>
      <c r="L350" s="134"/>
      <c r="M350" s="134"/>
      <c r="N350" s="51" t="s">
        <v>38</v>
      </c>
      <c r="O350" s="48" t="s">
        <v>508</v>
      </c>
      <c r="P350" s="42"/>
      <c r="Q350" s="132"/>
      <c r="R350" s="132"/>
      <c r="S350" s="132"/>
      <c r="T350" s="132"/>
      <c r="U350" s="160"/>
      <c r="V350" s="132"/>
      <c r="W350" s="132"/>
      <c r="X350" s="132"/>
    </row>
    <row r="351" spans="1:24" ht="97.5" customHeight="1">
      <c r="A351" s="141"/>
      <c r="B351" s="134"/>
      <c r="C351" s="141"/>
      <c r="D351" s="147"/>
      <c r="E351" s="141"/>
      <c r="F351" s="147"/>
      <c r="G351" s="139"/>
      <c r="H351" s="136"/>
      <c r="I351" s="134"/>
      <c r="J351" s="134"/>
      <c r="K351" s="134"/>
      <c r="L351" s="134"/>
      <c r="M351" s="134"/>
      <c r="N351" s="51" t="s">
        <v>39</v>
      </c>
      <c r="O351" s="40" t="s">
        <v>1045</v>
      </c>
      <c r="P351" s="40" t="s">
        <v>982</v>
      </c>
      <c r="Q351" s="133"/>
      <c r="R351" s="133"/>
      <c r="S351" s="133"/>
      <c r="T351" s="133"/>
      <c r="U351" s="161"/>
      <c r="V351" s="133"/>
      <c r="W351" s="133"/>
      <c r="X351" s="133"/>
    </row>
    <row r="352" spans="1:24" ht="41.25" customHeight="1">
      <c r="A352" s="142">
        <v>117</v>
      </c>
      <c r="B352" s="134" t="s">
        <v>277</v>
      </c>
      <c r="C352" s="134" t="s">
        <v>1040</v>
      </c>
      <c r="D352" s="145" t="s">
        <v>172</v>
      </c>
      <c r="E352" s="141" t="s">
        <v>40</v>
      </c>
      <c r="F352" s="145" t="s">
        <v>492</v>
      </c>
      <c r="G352" s="137"/>
      <c r="H352" s="136" t="s">
        <v>649</v>
      </c>
      <c r="I352" s="134" t="s">
        <v>344</v>
      </c>
      <c r="J352" s="134" t="e">
        <f>#REF!</f>
        <v>#REF!</v>
      </c>
      <c r="K352" s="134" t="e">
        <f>#REF!</f>
        <v>#REF!</v>
      </c>
      <c r="L352" s="134" t="e">
        <f>#REF!</f>
        <v>#REF!</v>
      </c>
      <c r="M352" s="134" t="e">
        <f t="shared" ref="M352" si="230">IF(OR(L352&gt;6), "Non-acceptable","Acceptable")</f>
        <v>#REF!</v>
      </c>
      <c r="N352" s="51" t="s">
        <v>37</v>
      </c>
      <c r="O352" s="48" t="s">
        <v>270</v>
      </c>
      <c r="P352" s="42"/>
      <c r="Q352" s="131" t="e">
        <f>#REF!</f>
        <v>#REF!</v>
      </c>
      <c r="R352" s="131" t="e">
        <f>#REF!</f>
        <v>#REF!</v>
      </c>
      <c r="S352" s="131" t="e">
        <f>#REF!</f>
        <v>#REF!</v>
      </c>
      <c r="T352" s="131" t="e">
        <f t="shared" ref="T352" si="231">IF(OR(S352&gt;6), "Non-acceptable","Acceptable")</f>
        <v>#REF!</v>
      </c>
      <c r="U352" s="159" t="s">
        <v>787</v>
      </c>
      <c r="V352" s="131" t="s">
        <v>724</v>
      </c>
      <c r="W352" s="131" t="s">
        <v>725</v>
      </c>
      <c r="X352" s="131" t="s">
        <v>726</v>
      </c>
    </row>
    <row r="353" spans="1:24" ht="33.75" customHeight="1">
      <c r="A353" s="141"/>
      <c r="B353" s="134"/>
      <c r="C353" s="141"/>
      <c r="D353" s="146"/>
      <c r="E353" s="141"/>
      <c r="F353" s="146"/>
      <c r="G353" s="138"/>
      <c r="H353" s="136"/>
      <c r="I353" s="134"/>
      <c r="J353" s="134"/>
      <c r="K353" s="134"/>
      <c r="L353" s="134"/>
      <c r="M353" s="134"/>
      <c r="N353" s="51" t="s">
        <v>38</v>
      </c>
      <c r="O353" s="48" t="s">
        <v>508</v>
      </c>
      <c r="P353" s="42"/>
      <c r="Q353" s="132"/>
      <c r="R353" s="132"/>
      <c r="S353" s="132"/>
      <c r="T353" s="132"/>
      <c r="U353" s="160"/>
      <c r="V353" s="132"/>
      <c r="W353" s="132"/>
      <c r="X353" s="132"/>
    </row>
    <row r="354" spans="1:24" ht="119.25" customHeight="1">
      <c r="A354" s="141"/>
      <c r="B354" s="134"/>
      <c r="C354" s="141"/>
      <c r="D354" s="147"/>
      <c r="E354" s="141"/>
      <c r="F354" s="147"/>
      <c r="G354" s="139"/>
      <c r="H354" s="136"/>
      <c r="I354" s="134"/>
      <c r="J354" s="134"/>
      <c r="K354" s="134"/>
      <c r="L354" s="134"/>
      <c r="M354" s="134"/>
      <c r="N354" s="51" t="s">
        <v>39</v>
      </c>
      <c r="O354" s="40" t="s">
        <v>989</v>
      </c>
      <c r="P354" s="40" t="s">
        <v>982</v>
      </c>
      <c r="Q354" s="133"/>
      <c r="R354" s="133"/>
      <c r="S354" s="133"/>
      <c r="T354" s="133"/>
      <c r="U354" s="161"/>
      <c r="V354" s="133"/>
      <c r="W354" s="133"/>
      <c r="X354" s="133"/>
    </row>
    <row r="355" spans="1:24" ht="40.5" customHeight="1">
      <c r="A355" s="142">
        <v>118</v>
      </c>
      <c r="B355" s="131" t="s">
        <v>294</v>
      </c>
      <c r="C355" s="143" t="s">
        <v>1028</v>
      </c>
      <c r="D355" s="145" t="s">
        <v>688</v>
      </c>
      <c r="E355" s="166" t="s">
        <v>40</v>
      </c>
      <c r="F355" s="145" t="s">
        <v>688</v>
      </c>
      <c r="G355" s="137"/>
      <c r="H355" s="145" t="s">
        <v>689</v>
      </c>
      <c r="I355" s="134" t="s">
        <v>312</v>
      </c>
      <c r="J355" s="134" t="e">
        <f>#REF!</f>
        <v>#REF!</v>
      </c>
      <c r="K355" s="134" t="e">
        <f>#REF!</f>
        <v>#REF!</v>
      </c>
      <c r="L355" s="134" t="e">
        <f>#REF!</f>
        <v>#REF!</v>
      </c>
      <c r="M355" s="134" t="e">
        <f t="shared" ref="M355" si="232">IF(OR(L355&gt;6), "Non-acceptable","Acceptable")</f>
        <v>#REF!</v>
      </c>
      <c r="N355" s="51" t="s">
        <v>37</v>
      </c>
      <c r="O355" s="48" t="s">
        <v>290</v>
      </c>
      <c r="P355" s="40" t="s">
        <v>79</v>
      </c>
      <c r="Q355" s="131" t="e">
        <f>#REF!</f>
        <v>#REF!</v>
      </c>
      <c r="R355" s="131" t="e">
        <f>#REF!</f>
        <v>#REF!</v>
      </c>
      <c r="S355" s="131" t="e">
        <f>#REF!</f>
        <v>#REF!</v>
      </c>
      <c r="T355" s="131" t="e">
        <f t="shared" ref="T355" si="233">IF(OR(S355&gt;6), "Non-acceptable","Acceptable")</f>
        <v>#REF!</v>
      </c>
      <c r="U355" s="150" t="s">
        <v>788</v>
      </c>
      <c r="V355" s="131" t="s">
        <v>724</v>
      </c>
      <c r="W355" s="131" t="s">
        <v>725</v>
      </c>
      <c r="X355" s="131" t="s">
        <v>726</v>
      </c>
    </row>
    <row r="356" spans="1:24" ht="34.5" customHeight="1">
      <c r="A356" s="141"/>
      <c r="B356" s="132"/>
      <c r="C356" s="134"/>
      <c r="D356" s="146"/>
      <c r="E356" s="167"/>
      <c r="F356" s="146"/>
      <c r="G356" s="138"/>
      <c r="H356" s="146"/>
      <c r="I356" s="134"/>
      <c r="J356" s="134"/>
      <c r="K356" s="134"/>
      <c r="L356" s="134"/>
      <c r="M356" s="134"/>
      <c r="N356" s="51" t="s">
        <v>38</v>
      </c>
      <c r="O356" s="48" t="s">
        <v>272</v>
      </c>
      <c r="P356" s="40"/>
      <c r="Q356" s="132"/>
      <c r="R356" s="132"/>
      <c r="S356" s="132"/>
      <c r="T356" s="132"/>
      <c r="U356" s="160"/>
      <c r="V356" s="132"/>
      <c r="W356" s="132"/>
      <c r="X356" s="132"/>
    </row>
    <row r="357" spans="1:24" ht="177.75" customHeight="1">
      <c r="A357" s="141"/>
      <c r="B357" s="133"/>
      <c r="C357" s="134"/>
      <c r="D357" s="147"/>
      <c r="E357" s="168"/>
      <c r="F357" s="147"/>
      <c r="G357" s="139"/>
      <c r="H357" s="147"/>
      <c r="I357" s="134"/>
      <c r="J357" s="134"/>
      <c r="K357" s="134"/>
      <c r="L357" s="134"/>
      <c r="M357" s="134"/>
      <c r="N357" s="51" t="s">
        <v>39</v>
      </c>
      <c r="O357" s="40" t="s">
        <v>990</v>
      </c>
      <c r="P357" s="40" t="s">
        <v>991</v>
      </c>
      <c r="Q357" s="133"/>
      <c r="R357" s="133"/>
      <c r="S357" s="133"/>
      <c r="T357" s="133"/>
      <c r="U357" s="161"/>
      <c r="V357" s="133"/>
      <c r="W357" s="133"/>
      <c r="X357" s="133"/>
    </row>
    <row r="358" spans="1:24" ht="40.5" customHeight="1">
      <c r="A358" s="142">
        <v>119</v>
      </c>
      <c r="B358" s="131" t="s">
        <v>294</v>
      </c>
      <c r="C358" s="143" t="s">
        <v>1046</v>
      </c>
      <c r="D358" s="135" t="s">
        <v>690</v>
      </c>
      <c r="E358" s="166" t="s">
        <v>716</v>
      </c>
      <c r="F358" s="135" t="s">
        <v>690</v>
      </c>
      <c r="G358" s="137"/>
      <c r="H358" s="135" t="s">
        <v>691</v>
      </c>
      <c r="I358" s="134" t="s">
        <v>184</v>
      </c>
      <c r="J358" s="134" t="e">
        <f>#REF!</f>
        <v>#REF!</v>
      </c>
      <c r="K358" s="134" t="e">
        <f>#REF!</f>
        <v>#REF!</v>
      </c>
      <c r="L358" s="134" t="e">
        <f>#REF!</f>
        <v>#REF!</v>
      </c>
      <c r="M358" s="134" t="e">
        <f t="shared" ref="M358" si="234">IF(OR(L358&gt;6), "Non-acceptable","Acceptable")</f>
        <v>#REF!</v>
      </c>
      <c r="N358" s="51" t="s">
        <v>37</v>
      </c>
      <c r="O358" s="48" t="s">
        <v>274</v>
      </c>
      <c r="P358" s="60"/>
      <c r="Q358" s="131" t="e">
        <f>#REF!</f>
        <v>#REF!</v>
      </c>
      <c r="R358" s="131" t="e">
        <f>#REF!</f>
        <v>#REF!</v>
      </c>
      <c r="S358" s="131" t="e">
        <f>#REF!</f>
        <v>#REF!</v>
      </c>
      <c r="T358" s="131" t="e">
        <f t="shared" ref="T358" si="235">IF(OR(S358&gt;6), "Non-acceptable","Acceptable")</f>
        <v>#REF!</v>
      </c>
      <c r="U358" s="150" t="s">
        <v>586</v>
      </c>
      <c r="V358" s="131" t="s">
        <v>724</v>
      </c>
      <c r="W358" s="131" t="s">
        <v>725</v>
      </c>
      <c r="X358" s="131" t="s">
        <v>726</v>
      </c>
    </row>
    <row r="359" spans="1:24" ht="66" customHeight="1">
      <c r="A359" s="141"/>
      <c r="B359" s="132"/>
      <c r="C359" s="141"/>
      <c r="D359" s="136"/>
      <c r="E359" s="167"/>
      <c r="F359" s="136"/>
      <c r="G359" s="138"/>
      <c r="H359" s="136"/>
      <c r="I359" s="134"/>
      <c r="J359" s="134"/>
      <c r="K359" s="134"/>
      <c r="L359" s="134"/>
      <c r="M359" s="134"/>
      <c r="N359" s="51" t="s">
        <v>38</v>
      </c>
      <c r="O359" s="40" t="s">
        <v>199</v>
      </c>
      <c r="P359" s="40" t="s">
        <v>313</v>
      </c>
      <c r="Q359" s="132"/>
      <c r="R359" s="132"/>
      <c r="S359" s="132"/>
      <c r="T359" s="132"/>
      <c r="U359" s="160"/>
      <c r="V359" s="132"/>
      <c r="W359" s="132"/>
      <c r="X359" s="132"/>
    </row>
    <row r="360" spans="1:24" ht="89.25" customHeight="1">
      <c r="A360" s="141"/>
      <c r="B360" s="133"/>
      <c r="C360" s="141"/>
      <c r="D360" s="136"/>
      <c r="E360" s="168"/>
      <c r="F360" s="136"/>
      <c r="G360" s="139"/>
      <c r="H360" s="136"/>
      <c r="I360" s="134"/>
      <c r="J360" s="134"/>
      <c r="K360" s="134"/>
      <c r="L360" s="134"/>
      <c r="M360" s="134"/>
      <c r="N360" s="51" t="s">
        <v>39</v>
      </c>
      <c r="O360" s="40" t="s">
        <v>586</v>
      </c>
      <c r="P360" s="40" t="s">
        <v>900</v>
      </c>
      <c r="Q360" s="133"/>
      <c r="R360" s="133"/>
      <c r="S360" s="133"/>
      <c r="T360" s="133"/>
      <c r="U360" s="161"/>
      <c r="V360" s="133"/>
      <c r="W360" s="133"/>
      <c r="X360" s="133"/>
    </row>
    <row r="361" spans="1:24" ht="33.75" customHeight="1">
      <c r="A361" s="142">
        <v>120</v>
      </c>
      <c r="B361" s="134" t="s">
        <v>277</v>
      </c>
      <c r="C361" s="148" t="s">
        <v>1018</v>
      </c>
      <c r="D361" s="135" t="s">
        <v>692</v>
      </c>
      <c r="E361" s="141" t="s">
        <v>40</v>
      </c>
      <c r="F361" s="135" t="s">
        <v>692</v>
      </c>
      <c r="G361" s="137"/>
      <c r="H361" s="135" t="s">
        <v>595</v>
      </c>
      <c r="I361" s="134" t="s">
        <v>419</v>
      </c>
      <c r="J361" s="134" t="e">
        <f>#REF!</f>
        <v>#REF!</v>
      </c>
      <c r="K361" s="134" t="e">
        <f>#REF!</f>
        <v>#REF!</v>
      </c>
      <c r="L361" s="134" t="e">
        <f>#REF!</f>
        <v>#REF!</v>
      </c>
      <c r="M361" s="134" t="e">
        <f t="shared" ref="M361" si="236">IF(OR(L361&gt;6), "Non-acceptable","Acceptable")</f>
        <v>#REF!</v>
      </c>
      <c r="N361" s="51" t="s">
        <v>0</v>
      </c>
      <c r="O361" s="48" t="s">
        <v>298</v>
      </c>
      <c r="P361" s="20"/>
      <c r="Q361" s="131" t="e">
        <f>#REF!</f>
        <v>#REF!</v>
      </c>
      <c r="R361" s="131" t="e">
        <f>#REF!</f>
        <v>#REF!</v>
      </c>
      <c r="S361" s="131" t="e">
        <f>#REF!</f>
        <v>#REF!</v>
      </c>
      <c r="T361" s="131" t="e">
        <f t="shared" ref="T361" si="237">IF(OR(S361&gt;6), "Non-acceptable","Acceptable")</f>
        <v>#REF!</v>
      </c>
      <c r="U361" s="150" t="s">
        <v>789</v>
      </c>
      <c r="V361" s="131" t="s">
        <v>724</v>
      </c>
      <c r="W361" s="131" t="s">
        <v>725</v>
      </c>
      <c r="X361" s="131" t="s">
        <v>726</v>
      </c>
    </row>
    <row r="362" spans="1:24" ht="64.5" customHeight="1">
      <c r="A362" s="141"/>
      <c r="B362" s="134"/>
      <c r="C362" s="172"/>
      <c r="D362" s="136"/>
      <c r="E362" s="141"/>
      <c r="F362" s="136"/>
      <c r="G362" s="138"/>
      <c r="H362" s="136"/>
      <c r="I362" s="134"/>
      <c r="J362" s="134"/>
      <c r="K362" s="134"/>
      <c r="L362" s="134"/>
      <c r="M362" s="134"/>
      <c r="N362" s="51" t="s">
        <v>1</v>
      </c>
      <c r="O362" s="40" t="s">
        <v>587</v>
      </c>
      <c r="P362" s="40" t="s">
        <v>415</v>
      </c>
      <c r="Q362" s="132"/>
      <c r="R362" s="132"/>
      <c r="S362" s="132"/>
      <c r="T362" s="132"/>
      <c r="U362" s="160"/>
      <c r="V362" s="132"/>
      <c r="W362" s="132"/>
      <c r="X362" s="132"/>
    </row>
    <row r="363" spans="1:24" ht="108.75" customHeight="1">
      <c r="A363" s="141"/>
      <c r="B363" s="134"/>
      <c r="C363" s="173"/>
      <c r="D363" s="136"/>
      <c r="E363" s="141"/>
      <c r="F363" s="136"/>
      <c r="G363" s="139"/>
      <c r="H363" s="136"/>
      <c r="I363" s="134"/>
      <c r="J363" s="134"/>
      <c r="K363" s="134"/>
      <c r="L363" s="134"/>
      <c r="M363" s="134"/>
      <c r="N363" s="51" t="s">
        <v>2</v>
      </c>
      <c r="O363" s="40" t="s">
        <v>992</v>
      </c>
      <c r="P363" s="40" t="s">
        <v>851</v>
      </c>
      <c r="Q363" s="133"/>
      <c r="R363" s="133"/>
      <c r="S363" s="133"/>
      <c r="T363" s="133"/>
      <c r="U363" s="161"/>
      <c r="V363" s="133"/>
      <c r="W363" s="133"/>
      <c r="X363" s="133"/>
    </row>
    <row r="364" spans="1:24" ht="42.75" customHeight="1">
      <c r="A364" s="142">
        <v>121</v>
      </c>
      <c r="B364" s="134" t="s">
        <v>418</v>
      </c>
      <c r="C364" s="148" t="s">
        <v>1018</v>
      </c>
      <c r="D364" s="135" t="s">
        <v>692</v>
      </c>
      <c r="E364" s="141" t="s">
        <v>40</v>
      </c>
      <c r="F364" s="135" t="s">
        <v>692</v>
      </c>
      <c r="G364" s="137"/>
      <c r="H364" s="135" t="s">
        <v>693</v>
      </c>
      <c r="I364" s="134" t="s">
        <v>417</v>
      </c>
      <c r="J364" s="134" t="e">
        <f>#REF!</f>
        <v>#REF!</v>
      </c>
      <c r="K364" s="134" t="e">
        <f>#REF!</f>
        <v>#REF!</v>
      </c>
      <c r="L364" s="134" t="e">
        <f>#REF!</f>
        <v>#REF!</v>
      </c>
      <c r="M364" s="134" t="e">
        <f t="shared" ref="M364" si="238">IF(OR(L364&gt;6), "Non-acceptable","Acceptable")</f>
        <v>#REF!</v>
      </c>
      <c r="N364" s="51" t="s">
        <v>0</v>
      </c>
      <c r="O364" s="48" t="s">
        <v>588</v>
      </c>
      <c r="P364" s="20"/>
      <c r="Q364" s="131" t="e">
        <f>#REF!</f>
        <v>#REF!</v>
      </c>
      <c r="R364" s="131" t="e">
        <f>#REF!</f>
        <v>#REF!</v>
      </c>
      <c r="S364" s="131" t="e">
        <f>#REF!</f>
        <v>#REF!</v>
      </c>
      <c r="T364" s="131" t="e">
        <f t="shared" ref="T364" si="239">IF(OR(S364&gt;6), "Non-acceptable","Acceptable")</f>
        <v>#REF!</v>
      </c>
      <c r="U364" s="150" t="s">
        <v>789</v>
      </c>
      <c r="V364" s="131" t="s">
        <v>724</v>
      </c>
      <c r="W364" s="131" t="s">
        <v>725</v>
      </c>
      <c r="X364" s="131" t="s">
        <v>726</v>
      </c>
    </row>
    <row r="365" spans="1:24" ht="66.75" customHeight="1">
      <c r="A365" s="141"/>
      <c r="B365" s="134"/>
      <c r="C365" s="172"/>
      <c r="D365" s="136"/>
      <c r="E365" s="141"/>
      <c r="F365" s="136"/>
      <c r="G365" s="138"/>
      <c r="H365" s="136"/>
      <c r="I365" s="134"/>
      <c r="J365" s="134"/>
      <c r="K365" s="134"/>
      <c r="L365" s="134"/>
      <c r="M365" s="134"/>
      <c r="N365" s="51" t="s">
        <v>1</v>
      </c>
      <c r="O365" s="40" t="s">
        <v>587</v>
      </c>
      <c r="P365" s="40" t="s">
        <v>415</v>
      </c>
      <c r="Q365" s="132"/>
      <c r="R365" s="132"/>
      <c r="S365" s="132"/>
      <c r="T365" s="132"/>
      <c r="U365" s="160"/>
      <c r="V365" s="132"/>
      <c r="W365" s="132"/>
      <c r="X365" s="132"/>
    </row>
    <row r="366" spans="1:24" ht="111" customHeight="1">
      <c r="A366" s="141"/>
      <c r="B366" s="134"/>
      <c r="C366" s="173"/>
      <c r="D366" s="136"/>
      <c r="E366" s="141"/>
      <c r="F366" s="136"/>
      <c r="G366" s="139"/>
      <c r="H366" s="136"/>
      <c r="I366" s="134"/>
      <c r="J366" s="134"/>
      <c r="K366" s="134"/>
      <c r="L366" s="134"/>
      <c r="M366" s="134"/>
      <c r="N366" s="51" t="s">
        <v>2</v>
      </c>
      <c r="O366" s="40" t="s">
        <v>992</v>
      </c>
      <c r="P366" s="40" t="s">
        <v>851</v>
      </c>
      <c r="Q366" s="133"/>
      <c r="R366" s="133"/>
      <c r="S366" s="133"/>
      <c r="T366" s="133"/>
      <c r="U366" s="161"/>
      <c r="V366" s="133"/>
      <c r="W366" s="133"/>
      <c r="X366" s="133"/>
    </row>
    <row r="367" spans="1:24" ht="33.75" customHeight="1">
      <c r="A367" s="142">
        <v>122</v>
      </c>
      <c r="B367" s="134" t="s">
        <v>993</v>
      </c>
      <c r="C367" s="143" t="s">
        <v>435</v>
      </c>
      <c r="D367" s="150" t="s">
        <v>694</v>
      </c>
      <c r="E367" s="141" t="s">
        <v>716</v>
      </c>
      <c r="F367" s="150" t="s">
        <v>694</v>
      </c>
      <c r="G367" s="137"/>
      <c r="H367" s="156" t="s">
        <v>697</v>
      </c>
      <c r="I367" s="134" t="s">
        <v>328</v>
      </c>
      <c r="J367" s="134" t="e">
        <f>#REF!</f>
        <v>#REF!</v>
      </c>
      <c r="K367" s="134" t="e">
        <f>#REF!</f>
        <v>#REF!</v>
      </c>
      <c r="L367" s="134" t="e">
        <f>#REF!</f>
        <v>#REF!</v>
      </c>
      <c r="M367" s="134" t="e">
        <f t="shared" ref="M367" si="240">IF(OR(L367&gt;6), "Non-acceptable","Acceptable")</f>
        <v>#REF!</v>
      </c>
      <c r="N367" s="51" t="s">
        <v>37</v>
      </c>
      <c r="O367" s="48" t="s">
        <v>327</v>
      </c>
      <c r="P367" s="20"/>
      <c r="Q367" s="131" t="e">
        <f>#REF!</f>
        <v>#REF!</v>
      </c>
      <c r="R367" s="131" t="e">
        <f>#REF!</f>
        <v>#REF!</v>
      </c>
      <c r="S367" s="131" t="e">
        <f>#REF!</f>
        <v>#REF!</v>
      </c>
      <c r="T367" s="131" t="e">
        <f t="shared" ref="T367" si="241">IF(OR(S367&gt;6), "Non-acceptable","Acceptable")</f>
        <v>#REF!</v>
      </c>
      <c r="U367" s="150" t="s">
        <v>790</v>
      </c>
      <c r="V367" s="131" t="s">
        <v>724</v>
      </c>
      <c r="W367" s="131" t="s">
        <v>725</v>
      </c>
      <c r="X367" s="131" t="s">
        <v>726</v>
      </c>
    </row>
    <row r="368" spans="1:24" ht="68.25" customHeight="1">
      <c r="A368" s="141"/>
      <c r="B368" s="134"/>
      <c r="C368" s="134"/>
      <c r="D368" s="151"/>
      <c r="E368" s="141"/>
      <c r="F368" s="151"/>
      <c r="G368" s="138"/>
      <c r="H368" s="157"/>
      <c r="I368" s="134"/>
      <c r="J368" s="134"/>
      <c r="K368" s="134"/>
      <c r="L368" s="134"/>
      <c r="M368" s="134"/>
      <c r="N368" s="51" t="s">
        <v>38</v>
      </c>
      <c r="O368" s="40" t="s">
        <v>423</v>
      </c>
      <c r="P368" s="40" t="s">
        <v>433</v>
      </c>
      <c r="Q368" s="132"/>
      <c r="R368" s="132"/>
      <c r="S368" s="132"/>
      <c r="T368" s="132"/>
      <c r="U368" s="160"/>
      <c r="V368" s="132"/>
      <c r="W368" s="132"/>
      <c r="X368" s="132"/>
    </row>
    <row r="369" spans="1:24" ht="270" customHeight="1">
      <c r="A369" s="141"/>
      <c r="B369" s="134"/>
      <c r="C369" s="134"/>
      <c r="D369" s="152"/>
      <c r="E369" s="141"/>
      <c r="F369" s="152"/>
      <c r="G369" s="139"/>
      <c r="H369" s="157"/>
      <c r="I369" s="134"/>
      <c r="J369" s="134"/>
      <c r="K369" s="134"/>
      <c r="L369" s="134"/>
      <c r="M369" s="134"/>
      <c r="N369" s="51" t="s">
        <v>39</v>
      </c>
      <c r="O369" s="40" t="s">
        <v>994</v>
      </c>
      <c r="P369" s="40" t="s">
        <v>995</v>
      </c>
      <c r="Q369" s="133"/>
      <c r="R369" s="133"/>
      <c r="S369" s="133"/>
      <c r="T369" s="133"/>
      <c r="U369" s="161"/>
      <c r="V369" s="133"/>
      <c r="W369" s="133"/>
      <c r="X369" s="133"/>
    </row>
    <row r="370" spans="1:24" ht="42.75" customHeight="1">
      <c r="A370" s="142">
        <v>123</v>
      </c>
      <c r="B370" s="131" t="s">
        <v>993</v>
      </c>
      <c r="C370" s="143" t="s">
        <v>435</v>
      </c>
      <c r="D370" s="150" t="s">
        <v>695</v>
      </c>
      <c r="E370" s="166" t="s">
        <v>716</v>
      </c>
      <c r="F370" s="150" t="s">
        <v>695</v>
      </c>
      <c r="G370" s="137"/>
      <c r="H370" s="136" t="s">
        <v>996</v>
      </c>
      <c r="I370" s="131" t="s">
        <v>419</v>
      </c>
      <c r="J370" s="134" t="e">
        <f>#REF!</f>
        <v>#REF!</v>
      </c>
      <c r="K370" s="134" t="e">
        <f>#REF!</f>
        <v>#REF!</v>
      </c>
      <c r="L370" s="134" t="e">
        <f>#REF!</f>
        <v>#REF!</v>
      </c>
      <c r="M370" s="134" t="e">
        <f t="shared" ref="M370" si="242">IF(OR(L370&gt;6), "Non-acceptable","Acceptable")</f>
        <v>#REF!</v>
      </c>
      <c r="N370" s="51" t="s">
        <v>37</v>
      </c>
      <c r="O370" s="48" t="s">
        <v>327</v>
      </c>
      <c r="P370" s="20"/>
      <c r="Q370" s="131" t="e">
        <f>#REF!</f>
        <v>#REF!</v>
      </c>
      <c r="R370" s="131" t="e">
        <f>#REF!</f>
        <v>#REF!</v>
      </c>
      <c r="S370" s="131" t="e">
        <f>#REF!</f>
        <v>#REF!</v>
      </c>
      <c r="T370" s="131" t="e">
        <f t="shared" ref="T370" si="243">IF(OR(S370&gt;6), "Non-acceptable","Acceptable")</f>
        <v>#REF!</v>
      </c>
      <c r="U370" s="159" t="s">
        <v>791</v>
      </c>
      <c r="V370" s="131" t="s">
        <v>724</v>
      </c>
      <c r="W370" s="131" t="s">
        <v>725</v>
      </c>
      <c r="X370" s="131" t="s">
        <v>726</v>
      </c>
    </row>
    <row r="371" spans="1:24" ht="63.75" customHeight="1">
      <c r="A371" s="141"/>
      <c r="B371" s="132"/>
      <c r="C371" s="134"/>
      <c r="D371" s="151"/>
      <c r="E371" s="167"/>
      <c r="F371" s="151"/>
      <c r="G371" s="138"/>
      <c r="H371" s="136"/>
      <c r="I371" s="132"/>
      <c r="J371" s="134"/>
      <c r="K371" s="134"/>
      <c r="L371" s="134"/>
      <c r="M371" s="134"/>
      <c r="N371" s="51" t="s">
        <v>38</v>
      </c>
      <c r="O371" s="40" t="s">
        <v>423</v>
      </c>
      <c r="P371" s="40" t="s">
        <v>433</v>
      </c>
      <c r="Q371" s="132"/>
      <c r="R371" s="132"/>
      <c r="S371" s="132"/>
      <c r="T371" s="132"/>
      <c r="U371" s="160"/>
      <c r="V371" s="132"/>
      <c r="W371" s="132"/>
      <c r="X371" s="132"/>
    </row>
    <row r="372" spans="1:24" ht="270" customHeight="1">
      <c r="A372" s="141"/>
      <c r="B372" s="133"/>
      <c r="C372" s="134"/>
      <c r="D372" s="152"/>
      <c r="E372" s="168"/>
      <c r="F372" s="152"/>
      <c r="G372" s="139"/>
      <c r="H372" s="136"/>
      <c r="I372" s="133"/>
      <c r="J372" s="134"/>
      <c r="K372" s="134"/>
      <c r="L372" s="134"/>
      <c r="M372" s="134"/>
      <c r="N372" s="51" t="s">
        <v>39</v>
      </c>
      <c r="O372" s="40" t="s">
        <v>994</v>
      </c>
      <c r="P372" s="40" t="s">
        <v>995</v>
      </c>
      <c r="Q372" s="133"/>
      <c r="R372" s="133"/>
      <c r="S372" s="133"/>
      <c r="T372" s="133"/>
      <c r="U372" s="161"/>
      <c r="V372" s="133"/>
      <c r="W372" s="133"/>
      <c r="X372" s="133"/>
    </row>
    <row r="373" spans="1:24" ht="41.25" customHeight="1">
      <c r="A373" s="142">
        <v>124</v>
      </c>
      <c r="B373" s="131" t="s">
        <v>993</v>
      </c>
      <c r="C373" s="143" t="s">
        <v>435</v>
      </c>
      <c r="D373" s="150" t="s">
        <v>696</v>
      </c>
      <c r="E373" s="166" t="s">
        <v>716</v>
      </c>
      <c r="F373" s="150" t="s">
        <v>696</v>
      </c>
      <c r="G373" s="137"/>
      <c r="H373" s="136" t="s">
        <v>997</v>
      </c>
      <c r="I373" s="131" t="s">
        <v>417</v>
      </c>
      <c r="J373" s="134" t="e">
        <f>#REF!</f>
        <v>#REF!</v>
      </c>
      <c r="K373" s="134" t="e">
        <f>#REF!</f>
        <v>#REF!</v>
      </c>
      <c r="L373" s="134" t="e">
        <f>#REF!</f>
        <v>#REF!</v>
      </c>
      <c r="M373" s="134" t="e">
        <f t="shared" ref="M373" si="244">IF(OR(L373&gt;6), "Non-acceptable","Acceptable")</f>
        <v>#REF!</v>
      </c>
      <c r="N373" s="51" t="s">
        <v>37</v>
      </c>
      <c r="O373" s="48" t="s">
        <v>327</v>
      </c>
      <c r="P373" s="20"/>
      <c r="Q373" s="131" t="e">
        <f>#REF!</f>
        <v>#REF!</v>
      </c>
      <c r="R373" s="131" t="e">
        <f>#REF!</f>
        <v>#REF!</v>
      </c>
      <c r="S373" s="131" t="e">
        <f>#REF!</f>
        <v>#REF!</v>
      </c>
      <c r="T373" s="131" t="e">
        <f t="shared" ref="T373" si="245">IF(OR(S373&gt;6), "Non-acceptable","Acceptable")</f>
        <v>#REF!</v>
      </c>
      <c r="U373" s="159" t="s">
        <v>791</v>
      </c>
      <c r="V373" s="131" t="s">
        <v>793</v>
      </c>
      <c r="W373" s="131" t="s">
        <v>725</v>
      </c>
      <c r="X373" s="131" t="s">
        <v>726</v>
      </c>
    </row>
    <row r="374" spans="1:24" ht="67.5" customHeight="1">
      <c r="A374" s="141"/>
      <c r="B374" s="132"/>
      <c r="C374" s="134"/>
      <c r="D374" s="151"/>
      <c r="E374" s="167"/>
      <c r="F374" s="151"/>
      <c r="G374" s="138"/>
      <c r="H374" s="136"/>
      <c r="I374" s="132"/>
      <c r="J374" s="134"/>
      <c r="K374" s="134"/>
      <c r="L374" s="134"/>
      <c r="M374" s="134"/>
      <c r="N374" s="51" t="s">
        <v>38</v>
      </c>
      <c r="O374" s="40" t="s">
        <v>423</v>
      </c>
      <c r="P374" s="40" t="s">
        <v>433</v>
      </c>
      <c r="Q374" s="132"/>
      <c r="R374" s="132"/>
      <c r="S374" s="132"/>
      <c r="T374" s="132"/>
      <c r="U374" s="160"/>
      <c r="V374" s="132"/>
      <c r="W374" s="132"/>
      <c r="X374" s="132"/>
    </row>
    <row r="375" spans="1:24" ht="270.75" customHeight="1">
      <c r="A375" s="141"/>
      <c r="B375" s="133"/>
      <c r="C375" s="134"/>
      <c r="D375" s="152"/>
      <c r="E375" s="168"/>
      <c r="F375" s="152"/>
      <c r="G375" s="139"/>
      <c r="H375" s="136"/>
      <c r="I375" s="133"/>
      <c r="J375" s="134"/>
      <c r="K375" s="134"/>
      <c r="L375" s="134"/>
      <c r="M375" s="134"/>
      <c r="N375" s="51" t="s">
        <v>39</v>
      </c>
      <c r="O375" s="40" t="s">
        <v>994</v>
      </c>
      <c r="P375" s="40" t="s">
        <v>995</v>
      </c>
      <c r="Q375" s="133"/>
      <c r="R375" s="133"/>
      <c r="S375" s="133"/>
      <c r="T375" s="133"/>
      <c r="U375" s="161"/>
      <c r="V375" s="133"/>
      <c r="W375" s="133"/>
      <c r="X375" s="133"/>
    </row>
    <row r="376" spans="1:24" ht="42" customHeight="1">
      <c r="A376" s="142">
        <v>125</v>
      </c>
      <c r="B376" s="134" t="s">
        <v>823</v>
      </c>
      <c r="C376" s="148" t="s">
        <v>998</v>
      </c>
      <c r="D376" s="156" t="s">
        <v>699</v>
      </c>
      <c r="E376" s="141" t="s">
        <v>716</v>
      </c>
      <c r="F376" s="156" t="s">
        <v>699</v>
      </c>
      <c r="G376" s="137"/>
      <c r="H376" s="145" t="s">
        <v>698</v>
      </c>
      <c r="I376" s="134" t="s">
        <v>434</v>
      </c>
      <c r="J376" s="134" t="e">
        <f>#REF!</f>
        <v>#REF!</v>
      </c>
      <c r="K376" s="134" t="e">
        <f>#REF!</f>
        <v>#REF!</v>
      </c>
      <c r="L376" s="134" t="e">
        <f>#REF!</f>
        <v>#REF!</v>
      </c>
      <c r="M376" s="134" t="e">
        <f t="shared" ref="M376" si="246">IF(OR(L376&gt;6), "Non-acceptable","Acceptable")</f>
        <v>#REF!</v>
      </c>
      <c r="N376" s="51" t="s">
        <v>37</v>
      </c>
      <c r="O376" s="48" t="s">
        <v>327</v>
      </c>
      <c r="P376" s="20"/>
      <c r="Q376" s="131" t="e">
        <f>#REF!</f>
        <v>#REF!</v>
      </c>
      <c r="R376" s="131" t="e">
        <f>#REF!</f>
        <v>#REF!</v>
      </c>
      <c r="S376" s="131" t="e">
        <f>#REF!</f>
        <v>#REF!</v>
      </c>
      <c r="T376" s="131" t="e">
        <f t="shared" ref="T376" si="247">IF(OR(S376&gt;6), "Non-acceptable","Acceptable")</f>
        <v>#REF!</v>
      </c>
      <c r="U376" s="159" t="s">
        <v>791</v>
      </c>
      <c r="V376" s="131" t="s">
        <v>724</v>
      </c>
      <c r="W376" s="131" t="s">
        <v>725</v>
      </c>
      <c r="X376" s="131" t="s">
        <v>726</v>
      </c>
    </row>
    <row r="377" spans="1:24" ht="62.25" customHeight="1">
      <c r="A377" s="141"/>
      <c r="B377" s="134"/>
      <c r="C377" s="172"/>
      <c r="D377" s="157"/>
      <c r="E377" s="141"/>
      <c r="F377" s="157"/>
      <c r="G377" s="138"/>
      <c r="H377" s="154"/>
      <c r="I377" s="134"/>
      <c r="J377" s="134"/>
      <c r="K377" s="134"/>
      <c r="L377" s="134"/>
      <c r="M377" s="134"/>
      <c r="N377" s="51" t="s">
        <v>38</v>
      </c>
      <c r="O377" s="40" t="s">
        <v>423</v>
      </c>
      <c r="P377" s="40" t="s">
        <v>433</v>
      </c>
      <c r="Q377" s="132"/>
      <c r="R377" s="132"/>
      <c r="S377" s="132"/>
      <c r="T377" s="132"/>
      <c r="U377" s="160"/>
      <c r="V377" s="132"/>
      <c r="W377" s="132"/>
      <c r="X377" s="132"/>
    </row>
    <row r="378" spans="1:24" ht="267.75" customHeight="1">
      <c r="A378" s="141"/>
      <c r="B378" s="134"/>
      <c r="C378" s="173"/>
      <c r="D378" s="157"/>
      <c r="E378" s="141"/>
      <c r="F378" s="157"/>
      <c r="G378" s="139"/>
      <c r="H378" s="155"/>
      <c r="I378" s="134"/>
      <c r="J378" s="134"/>
      <c r="K378" s="134"/>
      <c r="L378" s="134"/>
      <c r="M378" s="134"/>
      <c r="N378" s="51" t="s">
        <v>39</v>
      </c>
      <c r="O378" s="40" t="s">
        <v>994</v>
      </c>
      <c r="P378" s="40" t="s">
        <v>995</v>
      </c>
      <c r="Q378" s="133"/>
      <c r="R378" s="133"/>
      <c r="S378" s="133"/>
      <c r="T378" s="133"/>
      <c r="U378" s="161"/>
      <c r="V378" s="133"/>
      <c r="W378" s="133"/>
      <c r="X378" s="133"/>
    </row>
    <row r="379" spans="1:24">
      <c r="U379" s="58"/>
      <c r="V379" s="13"/>
      <c r="W379" s="13"/>
      <c r="X379" s="13"/>
    </row>
    <row r="380" spans="1:24">
      <c r="U380" s="58"/>
      <c r="V380" s="13"/>
      <c r="W380" s="13"/>
      <c r="X380" s="13"/>
    </row>
    <row r="381" spans="1:24">
      <c r="U381" s="58"/>
      <c r="V381" s="13"/>
      <c r="W381" s="13"/>
      <c r="X381" s="13"/>
    </row>
    <row r="382" spans="1:24">
      <c r="U382" s="58"/>
      <c r="V382" s="13"/>
      <c r="W382" s="13"/>
      <c r="X382" s="13"/>
    </row>
    <row r="383" spans="1:24">
      <c r="U383" s="58"/>
      <c r="V383" s="13"/>
      <c r="W383" s="13"/>
      <c r="X383" s="13"/>
    </row>
    <row r="384" spans="1:24">
      <c r="U384" s="58"/>
      <c r="V384" s="13"/>
      <c r="W384" s="13"/>
      <c r="X384" s="13"/>
    </row>
    <row r="385" spans="1:21" s="13" customFormat="1">
      <c r="A385" s="14"/>
      <c r="B385" s="15"/>
      <c r="D385" s="11"/>
      <c r="F385" s="11"/>
      <c r="G385" s="11"/>
      <c r="H385" s="12"/>
      <c r="I385" s="15"/>
      <c r="U385" s="58"/>
    </row>
    <row r="386" spans="1:21" s="13" customFormat="1">
      <c r="A386" s="14"/>
      <c r="B386" s="15"/>
      <c r="D386" s="11"/>
      <c r="F386" s="11"/>
      <c r="G386" s="11"/>
      <c r="H386" s="12"/>
      <c r="I386" s="15"/>
      <c r="U386" s="58"/>
    </row>
    <row r="387" spans="1:21" s="13" customFormat="1">
      <c r="A387" s="14"/>
      <c r="B387" s="15"/>
      <c r="D387" s="11"/>
      <c r="F387" s="11"/>
      <c r="G387" s="11"/>
      <c r="H387" s="12"/>
      <c r="I387" s="15"/>
      <c r="U387" s="58"/>
    </row>
    <row r="388" spans="1:21" s="13" customFormat="1">
      <c r="A388" s="14"/>
      <c r="B388" s="15"/>
      <c r="D388" s="11"/>
      <c r="F388" s="11"/>
      <c r="G388" s="11"/>
      <c r="H388" s="12"/>
      <c r="I388" s="15"/>
      <c r="U388" s="58"/>
    </row>
    <row r="389" spans="1:21" s="13" customFormat="1">
      <c r="A389" s="14"/>
      <c r="B389" s="15"/>
      <c r="D389" s="11"/>
      <c r="F389" s="11"/>
      <c r="G389" s="11"/>
      <c r="H389" s="12"/>
      <c r="I389" s="15"/>
      <c r="U389" s="58"/>
    </row>
    <row r="390" spans="1:21" s="13" customFormat="1">
      <c r="A390" s="14"/>
      <c r="B390" s="15"/>
      <c r="D390" s="11"/>
      <c r="F390" s="11"/>
      <c r="G390" s="11"/>
      <c r="H390" s="12"/>
      <c r="I390" s="15"/>
      <c r="U390" s="58"/>
    </row>
    <row r="391" spans="1:21" s="13" customFormat="1">
      <c r="A391" s="14"/>
      <c r="B391" s="15"/>
      <c r="D391" s="11"/>
      <c r="F391" s="11"/>
      <c r="G391" s="11"/>
      <c r="H391" s="12"/>
      <c r="I391" s="15"/>
      <c r="U391" s="58"/>
    </row>
    <row r="392" spans="1:21" s="13" customFormat="1">
      <c r="A392" s="14"/>
      <c r="B392" s="15"/>
      <c r="D392" s="11"/>
      <c r="F392" s="11"/>
      <c r="G392" s="11"/>
      <c r="H392" s="12"/>
      <c r="I392" s="15"/>
      <c r="U392" s="58"/>
    </row>
    <row r="393" spans="1:21" s="13" customFormat="1">
      <c r="A393" s="14"/>
      <c r="B393" s="15"/>
      <c r="D393" s="11"/>
      <c r="F393" s="11"/>
      <c r="G393" s="11"/>
      <c r="H393" s="12"/>
      <c r="I393" s="15"/>
      <c r="U393" s="58"/>
    </row>
    <row r="394" spans="1:21" s="13" customFormat="1">
      <c r="A394" s="14"/>
      <c r="B394" s="15"/>
      <c r="D394" s="11"/>
      <c r="F394" s="11"/>
      <c r="G394" s="11"/>
      <c r="H394" s="12"/>
      <c r="I394" s="15"/>
      <c r="U394" s="58"/>
    </row>
    <row r="395" spans="1:21" s="13" customFormat="1">
      <c r="A395" s="14"/>
      <c r="B395" s="15"/>
      <c r="D395" s="11"/>
      <c r="F395" s="11"/>
      <c r="G395" s="11"/>
      <c r="H395" s="12"/>
      <c r="I395" s="15"/>
      <c r="U395" s="58"/>
    </row>
    <row r="396" spans="1:21" s="13" customFormat="1">
      <c r="A396" s="14"/>
      <c r="B396" s="15"/>
      <c r="D396" s="11"/>
      <c r="F396" s="11"/>
      <c r="G396" s="11"/>
      <c r="H396" s="12"/>
      <c r="I396" s="15"/>
      <c r="U396" s="58"/>
    </row>
    <row r="397" spans="1:21" s="13" customFormat="1">
      <c r="A397" s="14"/>
      <c r="B397" s="15"/>
      <c r="D397" s="11"/>
      <c r="F397" s="11"/>
      <c r="G397" s="11"/>
      <c r="H397" s="12"/>
      <c r="I397" s="15"/>
      <c r="U397" s="58"/>
    </row>
    <row r="398" spans="1:21" s="13" customFormat="1">
      <c r="A398" s="14"/>
      <c r="B398" s="15"/>
      <c r="D398" s="11"/>
      <c r="F398" s="11"/>
      <c r="G398" s="11"/>
      <c r="H398" s="12"/>
      <c r="I398" s="15"/>
      <c r="U398" s="58"/>
    </row>
    <row r="399" spans="1:21" s="13" customFormat="1">
      <c r="A399" s="14"/>
      <c r="B399" s="15"/>
      <c r="D399" s="11"/>
      <c r="F399" s="11"/>
      <c r="G399" s="11"/>
      <c r="H399" s="12"/>
      <c r="I399" s="15"/>
      <c r="U399" s="58"/>
    </row>
    <row r="400" spans="1:21" s="13" customFormat="1">
      <c r="A400" s="14"/>
      <c r="B400" s="15"/>
      <c r="D400" s="11"/>
      <c r="F400" s="11"/>
      <c r="G400" s="11"/>
      <c r="H400" s="12"/>
      <c r="I400" s="15"/>
      <c r="U400" s="58"/>
    </row>
    <row r="401" spans="1:21" s="13" customFormat="1">
      <c r="A401" s="14"/>
      <c r="B401" s="15"/>
      <c r="D401" s="11"/>
      <c r="F401" s="11"/>
      <c r="G401" s="11"/>
      <c r="H401" s="12"/>
      <c r="I401" s="15"/>
      <c r="U401" s="58"/>
    </row>
    <row r="402" spans="1:21" s="13" customFormat="1">
      <c r="A402" s="14"/>
      <c r="B402" s="15"/>
      <c r="D402" s="11"/>
      <c r="F402" s="11"/>
      <c r="G402" s="11"/>
      <c r="H402" s="12"/>
      <c r="I402" s="15"/>
      <c r="U402" s="58"/>
    </row>
    <row r="403" spans="1:21" s="13" customFormat="1">
      <c r="A403" s="14"/>
      <c r="B403" s="15"/>
      <c r="D403" s="11"/>
      <c r="F403" s="11"/>
      <c r="G403" s="11"/>
      <c r="H403" s="12"/>
      <c r="I403" s="15"/>
      <c r="U403" s="58"/>
    </row>
    <row r="404" spans="1:21" s="13" customFormat="1">
      <c r="A404" s="14"/>
      <c r="B404" s="15"/>
      <c r="D404" s="11"/>
      <c r="F404" s="11"/>
      <c r="G404" s="11"/>
      <c r="H404" s="12"/>
      <c r="I404" s="15"/>
      <c r="U404" s="58"/>
    </row>
    <row r="405" spans="1:21" s="13" customFormat="1">
      <c r="A405" s="14"/>
      <c r="B405" s="15"/>
      <c r="D405" s="11"/>
      <c r="F405" s="11"/>
      <c r="G405" s="11"/>
      <c r="H405" s="12"/>
      <c r="I405" s="15"/>
      <c r="U405" s="58"/>
    </row>
    <row r="406" spans="1:21" s="13" customFormat="1">
      <c r="A406" s="14"/>
      <c r="B406" s="15"/>
      <c r="D406" s="11"/>
      <c r="F406" s="11"/>
      <c r="G406" s="11"/>
      <c r="H406" s="12"/>
      <c r="I406" s="15"/>
      <c r="U406" s="58"/>
    </row>
    <row r="407" spans="1:21" s="13" customFormat="1">
      <c r="A407" s="14"/>
      <c r="B407" s="15"/>
      <c r="D407" s="11"/>
      <c r="F407" s="11"/>
      <c r="G407" s="11"/>
      <c r="H407" s="12"/>
      <c r="I407" s="15"/>
      <c r="U407" s="58"/>
    </row>
    <row r="408" spans="1:21" s="13" customFormat="1">
      <c r="A408" s="14"/>
      <c r="B408" s="15"/>
      <c r="D408" s="11"/>
      <c r="F408" s="11"/>
      <c r="G408" s="11"/>
      <c r="H408" s="12"/>
      <c r="I408" s="15"/>
      <c r="U408" s="58"/>
    </row>
    <row r="409" spans="1:21" s="13" customFormat="1">
      <c r="A409" s="14"/>
      <c r="B409" s="15"/>
      <c r="D409" s="11"/>
      <c r="F409" s="11"/>
      <c r="G409" s="11"/>
      <c r="H409" s="12"/>
      <c r="I409" s="15"/>
      <c r="U409" s="58"/>
    </row>
    <row r="410" spans="1:21" s="13" customFormat="1">
      <c r="A410" s="14"/>
      <c r="B410" s="15"/>
      <c r="D410" s="11"/>
      <c r="F410" s="11"/>
      <c r="G410" s="11"/>
      <c r="H410" s="12"/>
      <c r="I410" s="15"/>
      <c r="U410" s="58"/>
    </row>
    <row r="411" spans="1:21" s="13" customFormat="1">
      <c r="A411" s="14"/>
      <c r="B411" s="15"/>
      <c r="D411" s="11"/>
      <c r="F411" s="11"/>
      <c r="G411" s="11"/>
      <c r="H411" s="12"/>
      <c r="I411" s="15"/>
      <c r="U411" s="58"/>
    </row>
    <row r="412" spans="1:21" s="13" customFormat="1">
      <c r="A412" s="14"/>
      <c r="B412" s="15"/>
      <c r="D412" s="11"/>
      <c r="F412" s="11"/>
      <c r="G412" s="11"/>
      <c r="H412" s="12"/>
      <c r="I412" s="15"/>
      <c r="U412" s="58"/>
    </row>
    <row r="413" spans="1:21" s="13" customFormat="1">
      <c r="A413" s="14"/>
      <c r="B413" s="15"/>
      <c r="D413" s="11"/>
      <c r="F413" s="11"/>
      <c r="G413" s="11"/>
      <c r="H413" s="12"/>
      <c r="I413" s="15"/>
      <c r="U413" s="58"/>
    </row>
    <row r="414" spans="1:21" s="13" customFormat="1">
      <c r="A414" s="14"/>
      <c r="B414" s="15"/>
      <c r="D414" s="11"/>
      <c r="F414" s="11"/>
      <c r="G414" s="11"/>
      <c r="H414" s="12"/>
      <c r="I414" s="15"/>
      <c r="U414" s="58"/>
    </row>
    <row r="415" spans="1:21" s="13" customFormat="1">
      <c r="A415" s="14"/>
      <c r="B415" s="15"/>
      <c r="D415" s="11"/>
      <c r="F415" s="11"/>
      <c r="G415" s="11"/>
      <c r="H415" s="12"/>
      <c r="I415" s="15"/>
      <c r="U415" s="58"/>
    </row>
    <row r="416" spans="1:21" s="13" customFormat="1">
      <c r="A416" s="14"/>
      <c r="B416" s="15"/>
      <c r="D416" s="11"/>
      <c r="F416" s="11"/>
      <c r="G416" s="11"/>
      <c r="H416" s="12"/>
      <c r="I416" s="15"/>
      <c r="U416" s="58"/>
    </row>
    <row r="417" spans="1:21" s="13" customFormat="1">
      <c r="A417" s="14"/>
      <c r="B417" s="15"/>
      <c r="D417" s="11"/>
      <c r="F417" s="11"/>
      <c r="G417" s="11"/>
      <c r="H417" s="12"/>
      <c r="I417" s="15"/>
      <c r="U417" s="58"/>
    </row>
    <row r="418" spans="1:21" s="13" customFormat="1">
      <c r="A418" s="14"/>
      <c r="B418" s="15"/>
      <c r="D418" s="11"/>
      <c r="F418" s="11"/>
      <c r="G418" s="11"/>
      <c r="H418" s="12"/>
      <c r="I418" s="15"/>
      <c r="U418" s="58"/>
    </row>
    <row r="419" spans="1:21" s="13" customFormat="1">
      <c r="A419" s="14"/>
      <c r="B419" s="15"/>
      <c r="D419" s="11"/>
      <c r="F419" s="11"/>
      <c r="G419" s="11"/>
      <c r="H419" s="12"/>
      <c r="I419" s="15"/>
      <c r="U419" s="58"/>
    </row>
    <row r="420" spans="1:21" s="13" customFormat="1">
      <c r="A420" s="14"/>
      <c r="B420" s="15"/>
      <c r="D420" s="11"/>
      <c r="F420" s="11"/>
      <c r="G420" s="11"/>
      <c r="H420" s="12"/>
      <c r="I420" s="15"/>
      <c r="U420" s="58"/>
    </row>
    <row r="421" spans="1:21" s="13" customFormat="1">
      <c r="A421" s="14"/>
      <c r="B421" s="15"/>
      <c r="D421" s="11"/>
      <c r="F421" s="11"/>
      <c r="G421" s="11"/>
      <c r="H421" s="12"/>
      <c r="I421" s="15"/>
      <c r="U421" s="58"/>
    </row>
    <row r="422" spans="1:21" s="13" customFormat="1">
      <c r="A422" s="14"/>
      <c r="B422" s="15"/>
      <c r="D422" s="11"/>
      <c r="F422" s="11"/>
      <c r="G422" s="11"/>
      <c r="H422" s="12"/>
      <c r="I422" s="15"/>
      <c r="U422" s="58"/>
    </row>
    <row r="423" spans="1:21" s="13" customFormat="1">
      <c r="A423" s="14"/>
      <c r="B423" s="15"/>
      <c r="D423" s="11"/>
      <c r="F423" s="11"/>
      <c r="G423" s="11"/>
      <c r="H423" s="12"/>
      <c r="I423" s="15"/>
      <c r="U423" s="58"/>
    </row>
    <row r="424" spans="1:21" s="13" customFormat="1">
      <c r="A424" s="14"/>
      <c r="B424" s="15"/>
      <c r="D424" s="11"/>
      <c r="F424" s="11"/>
      <c r="G424" s="11"/>
      <c r="H424" s="12"/>
      <c r="I424" s="15"/>
      <c r="U424" s="58"/>
    </row>
    <row r="425" spans="1:21" s="13" customFormat="1">
      <c r="A425" s="14"/>
      <c r="B425" s="15"/>
      <c r="D425" s="11"/>
      <c r="F425" s="11"/>
      <c r="G425" s="11"/>
      <c r="H425" s="12"/>
      <c r="I425" s="15"/>
      <c r="U425" s="58"/>
    </row>
    <row r="426" spans="1:21" s="13" customFormat="1">
      <c r="A426" s="14"/>
      <c r="B426" s="15"/>
      <c r="D426" s="11"/>
      <c r="F426" s="11"/>
      <c r="G426" s="11"/>
      <c r="H426" s="12"/>
      <c r="I426" s="15"/>
      <c r="U426" s="58"/>
    </row>
    <row r="427" spans="1:21" s="13" customFormat="1">
      <c r="A427" s="14"/>
      <c r="B427" s="15"/>
      <c r="D427" s="11"/>
      <c r="F427" s="11"/>
      <c r="G427" s="11"/>
      <c r="H427" s="12"/>
      <c r="I427" s="15"/>
      <c r="U427" s="58"/>
    </row>
    <row r="428" spans="1:21" s="13" customFormat="1">
      <c r="A428" s="14"/>
      <c r="B428" s="15"/>
      <c r="D428" s="11"/>
      <c r="F428" s="11"/>
      <c r="G428" s="11"/>
      <c r="H428" s="12"/>
      <c r="I428" s="15"/>
      <c r="U428" s="58"/>
    </row>
    <row r="429" spans="1:21" s="13" customFormat="1">
      <c r="A429" s="14"/>
      <c r="B429" s="15"/>
      <c r="D429" s="11"/>
      <c r="F429" s="11"/>
      <c r="G429" s="11"/>
      <c r="H429" s="12"/>
      <c r="I429" s="15"/>
      <c r="U429" s="58"/>
    </row>
    <row r="430" spans="1:21" s="13" customFormat="1">
      <c r="A430" s="14"/>
      <c r="B430" s="15"/>
      <c r="D430" s="11"/>
      <c r="F430" s="11"/>
      <c r="G430" s="11"/>
      <c r="H430" s="12"/>
      <c r="I430" s="15"/>
      <c r="U430" s="58"/>
    </row>
    <row r="431" spans="1:21" s="13" customFormat="1">
      <c r="A431" s="14"/>
      <c r="B431" s="15"/>
      <c r="D431" s="11"/>
      <c r="F431" s="11"/>
      <c r="G431" s="11"/>
      <c r="H431" s="12"/>
      <c r="I431" s="15"/>
      <c r="U431" s="58"/>
    </row>
    <row r="432" spans="1:21" s="13" customFormat="1">
      <c r="A432" s="14"/>
      <c r="B432" s="15"/>
      <c r="D432" s="11"/>
      <c r="F432" s="11"/>
      <c r="G432" s="11"/>
      <c r="H432" s="12"/>
      <c r="I432" s="15"/>
      <c r="U432" s="58"/>
    </row>
    <row r="433" spans="1:21" s="13" customFormat="1">
      <c r="A433" s="14"/>
      <c r="B433" s="15"/>
      <c r="D433" s="11"/>
      <c r="F433" s="11"/>
      <c r="G433" s="11"/>
      <c r="H433" s="12"/>
      <c r="I433" s="15"/>
      <c r="U433" s="58"/>
    </row>
    <row r="434" spans="1:21" s="13" customFormat="1">
      <c r="A434" s="14"/>
      <c r="B434" s="15"/>
      <c r="D434" s="11"/>
      <c r="F434" s="11"/>
      <c r="G434" s="11"/>
      <c r="H434" s="12"/>
      <c r="I434" s="15"/>
      <c r="U434" s="58"/>
    </row>
    <row r="435" spans="1:21" s="13" customFormat="1">
      <c r="A435" s="14"/>
      <c r="B435" s="15"/>
      <c r="D435" s="11"/>
      <c r="F435" s="11"/>
      <c r="G435" s="11"/>
      <c r="H435" s="12"/>
      <c r="I435" s="15"/>
      <c r="U435" s="58"/>
    </row>
    <row r="436" spans="1:21" s="13" customFormat="1">
      <c r="A436" s="14"/>
      <c r="B436" s="15"/>
      <c r="D436" s="11"/>
      <c r="F436" s="11"/>
      <c r="G436" s="11"/>
      <c r="H436" s="12"/>
      <c r="I436" s="15"/>
      <c r="U436" s="58"/>
    </row>
    <row r="437" spans="1:21" s="13" customFormat="1">
      <c r="A437" s="14"/>
      <c r="B437" s="15"/>
      <c r="D437" s="11"/>
      <c r="F437" s="11"/>
      <c r="G437" s="11"/>
      <c r="H437" s="12"/>
      <c r="I437" s="15"/>
      <c r="U437" s="58"/>
    </row>
    <row r="438" spans="1:21" s="13" customFormat="1">
      <c r="A438" s="14"/>
      <c r="B438" s="15"/>
      <c r="D438" s="11"/>
      <c r="F438" s="11"/>
      <c r="G438" s="11"/>
      <c r="H438" s="12"/>
      <c r="I438" s="15"/>
      <c r="U438" s="58"/>
    </row>
    <row r="439" spans="1:21" s="13" customFormat="1">
      <c r="A439" s="14"/>
      <c r="B439" s="15"/>
      <c r="D439" s="11"/>
      <c r="F439" s="11"/>
      <c r="G439" s="11"/>
      <c r="H439" s="12"/>
      <c r="I439" s="15"/>
      <c r="U439" s="58"/>
    </row>
    <row r="440" spans="1:21" s="13" customFormat="1">
      <c r="A440" s="14"/>
      <c r="B440" s="15"/>
      <c r="D440" s="11"/>
      <c r="F440" s="11"/>
      <c r="G440" s="11"/>
      <c r="H440" s="12"/>
      <c r="I440" s="15"/>
      <c r="U440" s="58"/>
    </row>
    <row r="441" spans="1:21" s="13" customFormat="1">
      <c r="A441" s="14"/>
      <c r="B441" s="15"/>
      <c r="D441" s="11"/>
      <c r="F441" s="11"/>
      <c r="G441" s="11"/>
      <c r="H441" s="12"/>
      <c r="I441" s="15"/>
      <c r="U441" s="58"/>
    </row>
    <row r="442" spans="1:21" s="13" customFormat="1">
      <c r="A442" s="14"/>
      <c r="B442" s="15"/>
      <c r="D442" s="11"/>
      <c r="F442" s="11"/>
      <c r="G442" s="11"/>
      <c r="H442" s="12"/>
      <c r="I442" s="15"/>
      <c r="U442" s="58"/>
    </row>
    <row r="443" spans="1:21" s="13" customFormat="1">
      <c r="A443" s="14"/>
      <c r="B443" s="15"/>
      <c r="D443" s="11"/>
      <c r="F443" s="11"/>
      <c r="G443" s="11"/>
      <c r="H443" s="12"/>
      <c r="I443" s="15"/>
      <c r="U443" s="58"/>
    </row>
    <row r="444" spans="1:21" s="13" customFormat="1">
      <c r="A444" s="14"/>
      <c r="B444" s="15"/>
      <c r="D444" s="11"/>
      <c r="F444" s="11"/>
      <c r="G444" s="11"/>
      <c r="H444" s="12"/>
      <c r="I444" s="15"/>
      <c r="U444" s="58"/>
    </row>
    <row r="445" spans="1:21" s="13" customFormat="1">
      <c r="A445" s="14"/>
      <c r="B445" s="15"/>
      <c r="D445" s="11"/>
      <c r="F445" s="11"/>
      <c r="G445" s="11"/>
      <c r="H445" s="12"/>
      <c r="I445" s="15"/>
      <c r="U445" s="58"/>
    </row>
    <row r="446" spans="1:21" s="13" customFormat="1">
      <c r="A446" s="14"/>
      <c r="B446" s="15"/>
      <c r="D446" s="11"/>
      <c r="F446" s="11"/>
      <c r="G446" s="11"/>
      <c r="H446" s="12"/>
      <c r="I446" s="15"/>
      <c r="U446" s="58"/>
    </row>
    <row r="447" spans="1:21" s="13" customFormat="1">
      <c r="A447" s="14"/>
      <c r="B447" s="15"/>
      <c r="D447" s="11"/>
      <c r="F447" s="11"/>
      <c r="G447" s="11"/>
      <c r="H447" s="12"/>
      <c r="I447" s="15"/>
      <c r="U447" s="58"/>
    </row>
    <row r="448" spans="1:21" s="13" customFormat="1">
      <c r="A448" s="14"/>
      <c r="B448" s="15"/>
      <c r="D448" s="11"/>
      <c r="F448" s="11"/>
      <c r="G448" s="11"/>
      <c r="H448" s="12"/>
      <c r="I448" s="15"/>
      <c r="U448" s="58"/>
    </row>
    <row r="449" spans="1:21" s="13" customFormat="1">
      <c r="A449" s="14"/>
      <c r="B449" s="15"/>
      <c r="D449" s="11"/>
      <c r="F449" s="11"/>
      <c r="G449" s="11"/>
      <c r="H449" s="12"/>
      <c r="I449" s="15"/>
      <c r="U449" s="58"/>
    </row>
    <row r="450" spans="1:21" s="13" customFormat="1">
      <c r="A450" s="14"/>
      <c r="B450" s="15"/>
      <c r="D450" s="11"/>
      <c r="F450" s="11"/>
      <c r="G450" s="11"/>
      <c r="H450" s="12"/>
      <c r="I450" s="15"/>
      <c r="U450" s="58"/>
    </row>
    <row r="451" spans="1:21" s="13" customFormat="1">
      <c r="A451" s="14"/>
      <c r="B451" s="15"/>
      <c r="D451" s="11"/>
      <c r="F451" s="11"/>
      <c r="G451" s="11"/>
      <c r="H451" s="12"/>
      <c r="I451" s="15"/>
      <c r="U451" s="58"/>
    </row>
    <row r="452" spans="1:21" s="13" customFormat="1">
      <c r="A452" s="14"/>
      <c r="B452" s="15"/>
      <c r="D452" s="11"/>
      <c r="F452" s="11"/>
      <c r="G452" s="11"/>
      <c r="H452" s="12"/>
      <c r="I452" s="15"/>
      <c r="U452" s="58"/>
    </row>
    <row r="453" spans="1:21" s="13" customFormat="1">
      <c r="A453" s="14"/>
      <c r="B453" s="15"/>
      <c r="D453" s="11"/>
      <c r="F453" s="11"/>
      <c r="G453" s="11"/>
      <c r="H453" s="12"/>
      <c r="I453" s="15"/>
      <c r="U453" s="58"/>
    </row>
    <row r="454" spans="1:21" s="13" customFormat="1">
      <c r="A454" s="14"/>
      <c r="B454" s="15"/>
      <c r="D454" s="11"/>
      <c r="F454" s="11"/>
      <c r="G454" s="11"/>
      <c r="H454" s="12"/>
      <c r="I454" s="15"/>
      <c r="U454" s="58"/>
    </row>
    <row r="455" spans="1:21" s="13" customFormat="1">
      <c r="A455" s="14"/>
      <c r="B455" s="15"/>
      <c r="D455" s="11"/>
      <c r="F455" s="11"/>
      <c r="G455" s="11"/>
      <c r="H455" s="12"/>
      <c r="I455" s="15"/>
      <c r="U455" s="58"/>
    </row>
    <row r="456" spans="1:21" s="13" customFormat="1">
      <c r="A456" s="14"/>
      <c r="B456" s="15"/>
      <c r="D456" s="11"/>
      <c r="F456" s="11"/>
      <c r="G456" s="11"/>
      <c r="H456" s="12"/>
      <c r="I456" s="15"/>
      <c r="U456" s="58"/>
    </row>
    <row r="457" spans="1:21" s="13" customFormat="1">
      <c r="A457" s="14"/>
      <c r="B457" s="15"/>
      <c r="D457" s="11"/>
      <c r="F457" s="11"/>
      <c r="G457" s="11"/>
      <c r="H457" s="12"/>
      <c r="I457" s="15"/>
      <c r="U457" s="58"/>
    </row>
    <row r="458" spans="1:21" s="13" customFormat="1">
      <c r="A458" s="14"/>
      <c r="B458" s="15"/>
      <c r="D458" s="11"/>
      <c r="F458" s="11"/>
      <c r="G458" s="11"/>
      <c r="H458" s="12"/>
      <c r="I458" s="15"/>
      <c r="U458" s="58"/>
    </row>
    <row r="459" spans="1:21" s="13" customFormat="1">
      <c r="A459" s="14"/>
      <c r="B459" s="15"/>
      <c r="D459" s="11"/>
      <c r="F459" s="11"/>
      <c r="G459" s="11"/>
      <c r="H459" s="12"/>
      <c r="I459" s="15"/>
      <c r="U459" s="58"/>
    </row>
    <row r="460" spans="1:21" s="13" customFormat="1">
      <c r="A460" s="14"/>
      <c r="B460" s="15"/>
      <c r="D460" s="11"/>
      <c r="F460" s="11"/>
      <c r="G460" s="11"/>
      <c r="H460" s="12"/>
      <c r="I460" s="15"/>
      <c r="U460" s="58"/>
    </row>
    <row r="461" spans="1:21" s="13" customFormat="1">
      <c r="A461" s="14"/>
      <c r="B461" s="15"/>
      <c r="D461" s="11"/>
      <c r="F461" s="11"/>
      <c r="G461" s="11"/>
      <c r="H461" s="12"/>
      <c r="I461" s="15"/>
      <c r="U461" s="58"/>
    </row>
    <row r="462" spans="1:21" s="13" customFormat="1">
      <c r="A462" s="14"/>
      <c r="B462" s="15"/>
      <c r="D462" s="11"/>
      <c r="F462" s="11"/>
      <c r="G462" s="11"/>
      <c r="H462" s="12"/>
      <c r="I462" s="15"/>
      <c r="U462" s="58"/>
    </row>
    <row r="463" spans="1:21" s="13" customFormat="1">
      <c r="A463" s="14"/>
      <c r="B463" s="15"/>
      <c r="D463" s="11"/>
      <c r="F463" s="11"/>
      <c r="G463" s="11"/>
      <c r="H463" s="12"/>
      <c r="I463" s="15"/>
      <c r="U463" s="58"/>
    </row>
    <row r="464" spans="1:21" s="13" customFormat="1">
      <c r="A464" s="14"/>
      <c r="B464" s="15"/>
      <c r="D464" s="11"/>
      <c r="F464" s="11"/>
      <c r="G464" s="11"/>
      <c r="H464" s="12"/>
      <c r="I464" s="15"/>
      <c r="U464" s="58"/>
    </row>
    <row r="465" spans="1:21" s="13" customFormat="1">
      <c r="A465" s="14"/>
      <c r="B465" s="15"/>
      <c r="D465" s="11"/>
      <c r="F465" s="11"/>
      <c r="G465" s="11"/>
      <c r="H465" s="12"/>
      <c r="I465" s="15"/>
      <c r="U465" s="58"/>
    </row>
    <row r="466" spans="1:21" s="13" customFormat="1">
      <c r="A466" s="14"/>
      <c r="B466" s="15"/>
      <c r="D466" s="11"/>
      <c r="F466" s="11"/>
      <c r="G466" s="11"/>
      <c r="H466" s="12"/>
      <c r="I466" s="15"/>
      <c r="U466" s="58"/>
    </row>
    <row r="467" spans="1:21" s="13" customFormat="1">
      <c r="A467" s="14"/>
      <c r="B467" s="15"/>
      <c r="D467" s="11"/>
      <c r="F467" s="11"/>
      <c r="G467" s="11"/>
      <c r="H467" s="12"/>
      <c r="I467" s="15"/>
      <c r="U467" s="58"/>
    </row>
    <row r="468" spans="1:21" s="13" customFormat="1">
      <c r="A468" s="14"/>
      <c r="B468" s="15"/>
      <c r="D468" s="11"/>
      <c r="F468" s="11"/>
      <c r="G468" s="11"/>
      <c r="H468" s="12"/>
      <c r="I468" s="15"/>
      <c r="U468" s="58"/>
    </row>
    <row r="469" spans="1:21" s="13" customFormat="1">
      <c r="A469" s="14"/>
      <c r="B469" s="15"/>
      <c r="D469" s="11"/>
      <c r="F469" s="11"/>
      <c r="G469" s="11"/>
      <c r="H469" s="12"/>
      <c r="I469" s="15"/>
      <c r="U469" s="58"/>
    </row>
    <row r="470" spans="1:21" s="13" customFormat="1">
      <c r="A470" s="14"/>
      <c r="B470" s="15"/>
      <c r="D470" s="11"/>
      <c r="F470" s="11"/>
      <c r="G470" s="11"/>
      <c r="H470" s="12"/>
      <c r="I470" s="15"/>
      <c r="U470" s="58"/>
    </row>
    <row r="471" spans="1:21" s="13" customFormat="1">
      <c r="A471" s="14"/>
      <c r="B471" s="15"/>
      <c r="D471" s="11"/>
      <c r="F471" s="11"/>
      <c r="G471" s="11"/>
      <c r="H471" s="12"/>
      <c r="I471" s="15"/>
      <c r="U471" s="58"/>
    </row>
    <row r="472" spans="1:21" s="13" customFormat="1">
      <c r="A472" s="14"/>
      <c r="B472" s="15"/>
      <c r="D472" s="11"/>
      <c r="F472" s="11"/>
      <c r="G472" s="11"/>
      <c r="H472" s="12"/>
      <c r="I472" s="15"/>
      <c r="U472" s="58"/>
    </row>
    <row r="473" spans="1:21" s="13" customFormat="1">
      <c r="A473" s="14"/>
      <c r="B473" s="15"/>
      <c r="D473" s="11"/>
      <c r="F473" s="11"/>
      <c r="G473" s="11"/>
      <c r="H473" s="12"/>
      <c r="I473" s="15"/>
      <c r="U473" s="58"/>
    </row>
    <row r="474" spans="1:21" s="13" customFormat="1">
      <c r="A474" s="14"/>
      <c r="B474" s="15"/>
      <c r="D474" s="11"/>
      <c r="F474" s="11"/>
      <c r="G474" s="11"/>
      <c r="H474" s="12"/>
      <c r="I474" s="15"/>
      <c r="U474" s="58"/>
    </row>
    <row r="475" spans="1:21" s="13" customFormat="1">
      <c r="A475" s="14"/>
      <c r="B475" s="15"/>
      <c r="D475" s="11"/>
      <c r="F475" s="11"/>
      <c r="G475" s="11"/>
      <c r="H475" s="12"/>
      <c r="I475" s="15"/>
      <c r="U475" s="58"/>
    </row>
    <row r="476" spans="1:21" s="13" customFormat="1">
      <c r="A476" s="14"/>
      <c r="B476" s="15"/>
      <c r="D476" s="11"/>
      <c r="F476" s="11"/>
      <c r="G476" s="11"/>
      <c r="H476" s="12"/>
      <c r="I476" s="15"/>
      <c r="U476" s="58"/>
    </row>
    <row r="477" spans="1:21" s="13" customFormat="1">
      <c r="A477" s="14"/>
      <c r="B477" s="15"/>
      <c r="D477" s="11"/>
      <c r="F477" s="11"/>
      <c r="G477" s="11"/>
      <c r="H477" s="12"/>
      <c r="I477" s="15"/>
      <c r="U477" s="58"/>
    </row>
    <row r="478" spans="1:21" s="13" customFormat="1">
      <c r="A478" s="14"/>
      <c r="B478" s="15"/>
      <c r="D478" s="11"/>
      <c r="F478" s="11"/>
      <c r="G478" s="11"/>
      <c r="H478" s="12"/>
      <c r="I478" s="15"/>
      <c r="U478" s="58"/>
    </row>
    <row r="479" spans="1:21" s="13" customFormat="1">
      <c r="A479" s="14"/>
      <c r="B479" s="15"/>
      <c r="D479" s="11"/>
      <c r="F479" s="11"/>
      <c r="G479" s="11"/>
      <c r="H479" s="12"/>
      <c r="I479" s="15"/>
      <c r="U479" s="58"/>
    </row>
    <row r="480" spans="1:21" s="13" customFormat="1">
      <c r="A480" s="14"/>
      <c r="B480" s="15"/>
      <c r="D480" s="11"/>
      <c r="F480" s="11"/>
      <c r="G480" s="11"/>
      <c r="H480" s="12"/>
      <c r="I480" s="15"/>
      <c r="U480" s="58"/>
    </row>
    <row r="481" spans="1:21" s="13" customFormat="1">
      <c r="A481" s="14"/>
      <c r="B481" s="15"/>
      <c r="D481" s="11"/>
      <c r="F481" s="11"/>
      <c r="G481" s="11"/>
      <c r="H481" s="12"/>
      <c r="I481" s="15"/>
      <c r="U481" s="58"/>
    </row>
    <row r="482" spans="1:21" s="13" customFormat="1">
      <c r="A482" s="14"/>
      <c r="B482" s="15"/>
      <c r="D482" s="11"/>
      <c r="F482" s="11"/>
      <c r="G482" s="11"/>
      <c r="H482" s="12"/>
      <c r="I482" s="15"/>
      <c r="U482" s="58"/>
    </row>
    <row r="483" spans="1:21" s="13" customFormat="1">
      <c r="A483" s="14"/>
      <c r="B483" s="15"/>
      <c r="D483" s="11"/>
      <c r="F483" s="11"/>
      <c r="G483" s="11"/>
      <c r="H483" s="12"/>
      <c r="I483" s="15"/>
      <c r="U483" s="58"/>
    </row>
    <row r="484" spans="1:21" s="13" customFormat="1">
      <c r="A484" s="14"/>
      <c r="B484" s="15"/>
      <c r="D484" s="11"/>
      <c r="F484" s="11"/>
      <c r="G484" s="11"/>
      <c r="H484" s="12"/>
      <c r="I484" s="15"/>
      <c r="U484" s="58"/>
    </row>
    <row r="485" spans="1:21" s="13" customFormat="1">
      <c r="A485" s="14"/>
      <c r="B485" s="15"/>
      <c r="D485" s="11"/>
      <c r="F485" s="11"/>
      <c r="G485" s="11"/>
      <c r="H485" s="12"/>
      <c r="I485" s="15"/>
      <c r="U485" s="58"/>
    </row>
    <row r="486" spans="1:21" s="13" customFormat="1">
      <c r="A486" s="14"/>
      <c r="B486" s="15"/>
      <c r="D486" s="11"/>
      <c r="F486" s="11"/>
      <c r="G486" s="11"/>
      <c r="H486" s="12"/>
      <c r="I486" s="15"/>
      <c r="U486" s="58"/>
    </row>
    <row r="487" spans="1:21" s="13" customFormat="1">
      <c r="A487" s="14"/>
      <c r="B487" s="15"/>
      <c r="D487" s="11"/>
      <c r="F487" s="11"/>
      <c r="G487" s="11"/>
      <c r="H487" s="12"/>
      <c r="I487" s="15"/>
      <c r="U487" s="58"/>
    </row>
    <row r="488" spans="1:21" s="13" customFormat="1">
      <c r="A488" s="14"/>
      <c r="B488" s="15"/>
      <c r="D488" s="11"/>
      <c r="F488" s="11"/>
      <c r="G488" s="11"/>
      <c r="H488" s="12"/>
      <c r="I488" s="15"/>
      <c r="U488" s="58"/>
    </row>
  </sheetData>
  <autoFilter ref="Q3:S378" xr:uid="{00000000-0009-0000-0000-000002000000}"/>
  <mergeCells count="2644">
    <mergeCell ref="D361:D363"/>
    <mergeCell ref="E361:E363"/>
    <mergeCell ref="D304:D306"/>
    <mergeCell ref="E304:E306"/>
    <mergeCell ref="D307:D309"/>
    <mergeCell ref="E307:E309"/>
    <mergeCell ref="D310:D312"/>
    <mergeCell ref="E310:E312"/>
    <mergeCell ref="D313:D315"/>
    <mergeCell ref="E313:E315"/>
    <mergeCell ref="D364:D366"/>
    <mergeCell ref="E364:E366"/>
    <mergeCell ref="D367:D369"/>
    <mergeCell ref="E367:E369"/>
    <mergeCell ref="D370:D372"/>
    <mergeCell ref="E370:E372"/>
    <mergeCell ref="D373:D375"/>
    <mergeCell ref="E373:E375"/>
    <mergeCell ref="D328:D330"/>
    <mergeCell ref="E328:E330"/>
    <mergeCell ref="D376:D378"/>
    <mergeCell ref="E376:E378"/>
    <mergeCell ref="D337:D339"/>
    <mergeCell ref="E337:E339"/>
    <mergeCell ref="D340:D342"/>
    <mergeCell ref="E340:E342"/>
    <mergeCell ref="D343:D345"/>
    <mergeCell ref="E343:E345"/>
    <mergeCell ref="D346:D348"/>
    <mergeCell ref="E346:E348"/>
    <mergeCell ref="D349:D351"/>
    <mergeCell ref="E349:E351"/>
    <mergeCell ref="D352:D354"/>
    <mergeCell ref="E352:E354"/>
    <mergeCell ref="D355:D357"/>
    <mergeCell ref="E355:E357"/>
    <mergeCell ref="D277:D279"/>
    <mergeCell ref="E277:E279"/>
    <mergeCell ref="D280:D282"/>
    <mergeCell ref="E280:E282"/>
    <mergeCell ref="D283:D285"/>
    <mergeCell ref="E283:E285"/>
    <mergeCell ref="D286:D288"/>
    <mergeCell ref="E286:E288"/>
    <mergeCell ref="D289:D291"/>
    <mergeCell ref="E289:E291"/>
    <mergeCell ref="D292:D294"/>
    <mergeCell ref="E292:E294"/>
    <mergeCell ref="D295:D297"/>
    <mergeCell ref="E295:E297"/>
    <mergeCell ref="D298:D300"/>
    <mergeCell ref="E298:E300"/>
    <mergeCell ref="D250:D252"/>
    <mergeCell ref="E250:E252"/>
    <mergeCell ref="D253:D255"/>
    <mergeCell ref="E253:E255"/>
    <mergeCell ref="D256:D258"/>
    <mergeCell ref="E256:E258"/>
    <mergeCell ref="D259:D261"/>
    <mergeCell ref="E259:E261"/>
    <mergeCell ref="D262:D264"/>
    <mergeCell ref="E262:E264"/>
    <mergeCell ref="D265:D267"/>
    <mergeCell ref="E265:E267"/>
    <mergeCell ref="D268:D270"/>
    <mergeCell ref="E268:E270"/>
    <mergeCell ref="D271:D273"/>
    <mergeCell ref="E271:E273"/>
    <mergeCell ref="D274:D276"/>
    <mergeCell ref="E274:E276"/>
    <mergeCell ref="D220:D222"/>
    <mergeCell ref="E220:E222"/>
    <mergeCell ref="D223:D225"/>
    <mergeCell ref="E223:E225"/>
    <mergeCell ref="D226:D228"/>
    <mergeCell ref="E226:E228"/>
    <mergeCell ref="D229:D231"/>
    <mergeCell ref="E229:E231"/>
    <mergeCell ref="D235:D237"/>
    <mergeCell ref="E235:E237"/>
    <mergeCell ref="D238:D240"/>
    <mergeCell ref="E238:E240"/>
    <mergeCell ref="D241:D243"/>
    <mergeCell ref="E241:E243"/>
    <mergeCell ref="D244:D246"/>
    <mergeCell ref="E244:E246"/>
    <mergeCell ref="D247:D249"/>
    <mergeCell ref="E247:E249"/>
    <mergeCell ref="D193:D195"/>
    <mergeCell ref="E193:E195"/>
    <mergeCell ref="D196:D198"/>
    <mergeCell ref="E196:E198"/>
    <mergeCell ref="D199:D201"/>
    <mergeCell ref="E199:E201"/>
    <mergeCell ref="D202:D204"/>
    <mergeCell ref="E202:E204"/>
    <mergeCell ref="D205:D207"/>
    <mergeCell ref="E205:E207"/>
    <mergeCell ref="D208:D210"/>
    <mergeCell ref="E208:E210"/>
    <mergeCell ref="D211:D213"/>
    <mergeCell ref="E211:E213"/>
    <mergeCell ref="D214:D216"/>
    <mergeCell ref="E214:E216"/>
    <mergeCell ref="D217:D219"/>
    <mergeCell ref="E217:E219"/>
    <mergeCell ref="D166:D168"/>
    <mergeCell ref="E166:E168"/>
    <mergeCell ref="D169:D171"/>
    <mergeCell ref="E169:E171"/>
    <mergeCell ref="D172:D174"/>
    <mergeCell ref="E172:E174"/>
    <mergeCell ref="D175:D177"/>
    <mergeCell ref="E175:E177"/>
    <mergeCell ref="D178:D180"/>
    <mergeCell ref="E178:E180"/>
    <mergeCell ref="D181:D183"/>
    <mergeCell ref="E181:E183"/>
    <mergeCell ref="D184:D186"/>
    <mergeCell ref="E184:E186"/>
    <mergeCell ref="D187:D189"/>
    <mergeCell ref="E187:E189"/>
    <mergeCell ref="D190:D192"/>
    <mergeCell ref="E190:E192"/>
    <mergeCell ref="D133:D135"/>
    <mergeCell ref="E133:E135"/>
    <mergeCell ref="D136:D138"/>
    <mergeCell ref="E136:E138"/>
    <mergeCell ref="D139:D141"/>
    <mergeCell ref="E139:E141"/>
    <mergeCell ref="D142:D144"/>
    <mergeCell ref="E142:E144"/>
    <mergeCell ref="D151:D153"/>
    <mergeCell ref="E151:E153"/>
    <mergeCell ref="D154:D156"/>
    <mergeCell ref="E154:E156"/>
    <mergeCell ref="D157:D159"/>
    <mergeCell ref="E157:E159"/>
    <mergeCell ref="D160:D162"/>
    <mergeCell ref="E160:E162"/>
    <mergeCell ref="D163:D165"/>
    <mergeCell ref="E163:E165"/>
    <mergeCell ref="D106:D108"/>
    <mergeCell ref="E106:E108"/>
    <mergeCell ref="D109:D111"/>
    <mergeCell ref="E109:E111"/>
    <mergeCell ref="D112:D114"/>
    <mergeCell ref="E112:E114"/>
    <mergeCell ref="D115:D117"/>
    <mergeCell ref="E115:E117"/>
    <mergeCell ref="D118:D120"/>
    <mergeCell ref="E118:E120"/>
    <mergeCell ref="D121:D123"/>
    <mergeCell ref="E121:E123"/>
    <mergeCell ref="D124:D126"/>
    <mergeCell ref="E124:E126"/>
    <mergeCell ref="D127:D129"/>
    <mergeCell ref="E127:E129"/>
    <mergeCell ref="D130:D132"/>
    <mergeCell ref="E130:E132"/>
    <mergeCell ref="D79:D81"/>
    <mergeCell ref="E79:E81"/>
    <mergeCell ref="D82:D84"/>
    <mergeCell ref="E82:E84"/>
    <mergeCell ref="D85:D87"/>
    <mergeCell ref="E85:E87"/>
    <mergeCell ref="D88:D90"/>
    <mergeCell ref="E88:E90"/>
    <mergeCell ref="D91:D93"/>
    <mergeCell ref="E91:E93"/>
    <mergeCell ref="D94:D96"/>
    <mergeCell ref="E94:E96"/>
    <mergeCell ref="D97:D99"/>
    <mergeCell ref="E97:E99"/>
    <mergeCell ref="D100:D102"/>
    <mergeCell ref="E100:E102"/>
    <mergeCell ref="D103:D105"/>
    <mergeCell ref="E103:E105"/>
    <mergeCell ref="E49:E51"/>
    <mergeCell ref="D52:D54"/>
    <mergeCell ref="E52:E54"/>
    <mergeCell ref="D55:D57"/>
    <mergeCell ref="E55:E57"/>
    <mergeCell ref="D58:D60"/>
    <mergeCell ref="E58:E60"/>
    <mergeCell ref="D61:D63"/>
    <mergeCell ref="E61:E63"/>
    <mergeCell ref="D64:D66"/>
    <mergeCell ref="E64:E66"/>
    <mergeCell ref="D67:D69"/>
    <mergeCell ref="E67:E69"/>
    <mergeCell ref="D70:D72"/>
    <mergeCell ref="E70:E72"/>
    <mergeCell ref="D73:D75"/>
    <mergeCell ref="E73:E75"/>
    <mergeCell ref="U376:U378"/>
    <mergeCell ref="V376:V378"/>
    <mergeCell ref="W376:W378"/>
    <mergeCell ref="X376:X378"/>
    <mergeCell ref="D2:D3"/>
    <mergeCell ref="E2:E3"/>
    <mergeCell ref="D4:D6"/>
    <mergeCell ref="E4:E6"/>
    <mergeCell ref="D7:D9"/>
    <mergeCell ref="E7:E9"/>
    <mergeCell ref="D10:D12"/>
    <mergeCell ref="E10:E12"/>
    <mergeCell ref="D13:D15"/>
    <mergeCell ref="E13:E15"/>
    <mergeCell ref="D16:D18"/>
    <mergeCell ref="E16:E18"/>
    <mergeCell ref="D19:D21"/>
    <mergeCell ref="E19:E21"/>
    <mergeCell ref="D22:D24"/>
    <mergeCell ref="E22:E24"/>
    <mergeCell ref="D25:D27"/>
    <mergeCell ref="E25:E27"/>
    <mergeCell ref="D28:D30"/>
    <mergeCell ref="E28:E30"/>
    <mergeCell ref="D31:D33"/>
    <mergeCell ref="E31:E33"/>
    <mergeCell ref="D34:D36"/>
    <mergeCell ref="E34:E36"/>
    <mergeCell ref="D37:D39"/>
    <mergeCell ref="U361:U363"/>
    <mergeCell ref="V361:V363"/>
    <mergeCell ref="W361:W363"/>
    <mergeCell ref="X361:X363"/>
    <mergeCell ref="U364:U366"/>
    <mergeCell ref="V364:V366"/>
    <mergeCell ref="W364:W366"/>
    <mergeCell ref="X364:X366"/>
    <mergeCell ref="U367:U369"/>
    <mergeCell ref="V367:V369"/>
    <mergeCell ref="W367:W369"/>
    <mergeCell ref="X367:X369"/>
    <mergeCell ref="U370:U372"/>
    <mergeCell ref="V370:V372"/>
    <mergeCell ref="W370:W372"/>
    <mergeCell ref="X370:X372"/>
    <mergeCell ref="U373:U375"/>
    <mergeCell ref="V373:V375"/>
    <mergeCell ref="W373:W375"/>
    <mergeCell ref="X373:X375"/>
    <mergeCell ref="U346:U348"/>
    <mergeCell ref="V346:V348"/>
    <mergeCell ref="W346:W348"/>
    <mergeCell ref="X346:X348"/>
    <mergeCell ref="U349:U351"/>
    <mergeCell ref="V349:V351"/>
    <mergeCell ref="W349:W351"/>
    <mergeCell ref="X349:X351"/>
    <mergeCell ref="U352:U354"/>
    <mergeCell ref="V352:V354"/>
    <mergeCell ref="W352:W354"/>
    <mergeCell ref="X352:X354"/>
    <mergeCell ref="U355:U357"/>
    <mergeCell ref="V355:V357"/>
    <mergeCell ref="W355:W357"/>
    <mergeCell ref="X355:X357"/>
    <mergeCell ref="U358:U360"/>
    <mergeCell ref="V358:V360"/>
    <mergeCell ref="W358:W360"/>
    <mergeCell ref="X358:X360"/>
    <mergeCell ref="U331:U333"/>
    <mergeCell ref="V331:V333"/>
    <mergeCell ref="W331:W333"/>
    <mergeCell ref="X331:X333"/>
    <mergeCell ref="U334:U336"/>
    <mergeCell ref="V334:V336"/>
    <mergeCell ref="W334:W336"/>
    <mergeCell ref="X334:X336"/>
    <mergeCell ref="U337:U339"/>
    <mergeCell ref="V337:V339"/>
    <mergeCell ref="W337:W339"/>
    <mergeCell ref="X337:X339"/>
    <mergeCell ref="U340:U342"/>
    <mergeCell ref="V340:V342"/>
    <mergeCell ref="W340:W342"/>
    <mergeCell ref="X340:X342"/>
    <mergeCell ref="U343:U345"/>
    <mergeCell ref="V343:V345"/>
    <mergeCell ref="W343:W345"/>
    <mergeCell ref="X343:X345"/>
    <mergeCell ref="U316:U318"/>
    <mergeCell ref="V316:V318"/>
    <mergeCell ref="W316:W318"/>
    <mergeCell ref="X316:X318"/>
    <mergeCell ref="U319:U321"/>
    <mergeCell ref="V319:V321"/>
    <mergeCell ref="W319:W321"/>
    <mergeCell ref="X319:X321"/>
    <mergeCell ref="U322:U324"/>
    <mergeCell ref="V322:V324"/>
    <mergeCell ref="W322:W324"/>
    <mergeCell ref="X322:X324"/>
    <mergeCell ref="U325:U327"/>
    <mergeCell ref="V325:V327"/>
    <mergeCell ref="W325:W327"/>
    <mergeCell ref="X325:X327"/>
    <mergeCell ref="U328:U330"/>
    <mergeCell ref="V328:V330"/>
    <mergeCell ref="W328:W330"/>
    <mergeCell ref="X328:X330"/>
    <mergeCell ref="U301:U303"/>
    <mergeCell ref="V301:V303"/>
    <mergeCell ref="W301:W303"/>
    <mergeCell ref="X301:X303"/>
    <mergeCell ref="U304:U306"/>
    <mergeCell ref="V304:V306"/>
    <mergeCell ref="W304:W306"/>
    <mergeCell ref="X304:X306"/>
    <mergeCell ref="U307:U309"/>
    <mergeCell ref="V307:V309"/>
    <mergeCell ref="W307:W309"/>
    <mergeCell ref="X307:X309"/>
    <mergeCell ref="U310:U312"/>
    <mergeCell ref="V310:V312"/>
    <mergeCell ref="W310:W312"/>
    <mergeCell ref="X310:X312"/>
    <mergeCell ref="U313:U315"/>
    <mergeCell ref="V313:V315"/>
    <mergeCell ref="W313:W315"/>
    <mergeCell ref="X313:X315"/>
    <mergeCell ref="U286:U288"/>
    <mergeCell ref="V286:V288"/>
    <mergeCell ref="W286:W288"/>
    <mergeCell ref="X286:X288"/>
    <mergeCell ref="U289:U291"/>
    <mergeCell ref="V289:V291"/>
    <mergeCell ref="W289:W291"/>
    <mergeCell ref="X289:X291"/>
    <mergeCell ref="U292:U294"/>
    <mergeCell ref="V292:V294"/>
    <mergeCell ref="W292:W294"/>
    <mergeCell ref="X292:X294"/>
    <mergeCell ref="U295:U297"/>
    <mergeCell ref="V295:V297"/>
    <mergeCell ref="W295:W297"/>
    <mergeCell ref="X295:X297"/>
    <mergeCell ref="U298:U300"/>
    <mergeCell ref="V298:V300"/>
    <mergeCell ref="W298:W300"/>
    <mergeCell ref="X298:X300"/>
    <mergeCell ref="U271:U273"/>
    <mergeCell ref="V271:V273"/>
    <mergeCell ref="W271:W273"/>
    <mergeCell ref="X271:X273"/>
    <mergeCell ref="U274:U276"/>
    <mergeCell ref="V274:V276"/>
    <mergeCell ref="W274:W276"/>
    <mergeCell ref="X274:X276"/>
    <mergeCell ref="U277:U279"/>
    <mergeCell ref="V277:V279"/>
    <mergeCell ref="W277:W279"/>
    <mergeCell ref="X277:X279"/>
    <mergeCell ref="U280:U282"/>
    <mergeCell ref="V280:V282"/>
    <mergeCell ref="W280:W282"/>
    <mergeCell ref="X280:X282"/>
    <mergeCell ref="U283:U285"/>
    <mergeCell ref="V283:V285"/>
    <mergeCell ref="W283:W285"/>
    <mergeCell ref="X283:X285"/>
    <mergeCell ref="U256:U258"/>
    <mergeCell ref="V256:V258"/>
    <mergeCell ref="W256:W258"/>
    <mergeCell ref="X256:X258"/>
    <mergeCell ref="U259:U261"/>
    <mergeCell ref="V259:V261"/>
    <mergeCell ref="W259:W261"/>
    <mergeCell ref="X259:X261"/>
    <mergeCell ref="U262:U264"/>
    <mergeCell ref="V262:V264"/>
    <mergeCell ref="W262:W264"/>
    <mergeCell ref="X262:X264"/>
    <mergeCell ref="U265:U267"/>
    <mergeCell ref="V265:V267"/>
    <mergeCell ref="W265:W267"/>
    <mergeCell ref="X265:X267"/>
    <mergeCell ref="U268:U270"/>
    <mergeCell ref="V268:V270"/>
    <mergeCell ref="W268:W270"/>
    <mergeCell ref="X268:X270"/>
    <mergeCell ref="U241:U243"/>
    <mergeCell ref="V241:V243"/>
    <mergeCell ref="W241:W243"/>
    <mergeCell ref="X241:X243"/>
    <mergeCell ref="U244:U246"/>
    <mergeCell ref="V244:V246"/>
    <mergeCell ref="W244:W246"/>
    <mergeCell ref="X244:X246"/>
    <mergeCell ref="U247:U249"/>
    <mergeCell ref="V247:V249"/>
    <mergeCell ref="W247:W249"/>
    <mergeCell ref="X247:X249"/>
    <mergeCell ref="U250:U252"/>
    <mergeCell ref="V250:V252"/>
    <mergeCell ref="W250:W252"/>
    <mergeCell ref="X250:X252"/>
    <mergeCell ref="U253:U255"/>
    <mergeCell ref="V253:V255"/>
    <mergeCell ref="W253:W255"/>
    <mergeCell ref="X253:X255"/>
    <mergeCell ref="U226:U228"/>
    <mergeCell ref="V226:V228"/>
    <mergeCell ref="W226:W228"/>
    <mergeCell ref="X226:X228"/>
    <mergeCell ref="U229:U231"/>
    <mergeCell ref="V229:V231"/>
    <mergeCell ref="W229:W231"/>
    <mergeCell ref="X229:X231"/>
    <mergeCell ref="U232:U234"/>
    <mergeCell ref="V232:V234"/>
    <mergeCell ref="W232:W234"/>
    <mergeCell ref="X232:X234"/>
    <mergeCell ref="U235:U237"/>
    <mergeCell ref="V235:V237"/>
    <mergeCell ref="W235:W237"/>
    <mergeCell ref="X235:X237"/>
    <mergeCell ref="U238:U240"/>
    <mergeCell ref="V238:V240"/>
    <mergeCell ref="W238:W240"/>
    <mergeCell ref="X238:X240"/>
    <mergeCell ref="U211:U213"/>
    <mergeCell ref="V211:V213"/>
    <mergeCell ref="W211:W213"/>
    <mergeCell ref="X211:X213"/>
    <mergeCell ref="U214:U216"/>
    <mergeCell ref="V214:V216"/>
    <mergeCell ref="W214:W216"/>
    <mergeCell ref="X214:X216"/>
    <mergeCell ref="U217:U219"/>
    <mergeCell ref="V217:V219"/>
    <mergeCell ref="W217:W219"/>
    <mergeCell ref="X217:X219"/>
    <mergeCell ref="U220:U222"/>
    <mergeCell ref="V220:V222"/>
    <mergeCell ref="W220:W222"/>
    <mergeCell ref="X220:X222"/>
    <mergeCell ref="U223:U225"/>
    <mergeCell ref="V223:V225"/>
    <mergeCell ref="W223:W225"/>
    <mergeCell ref="X223:X225"/>
    <mergeCell ref="U196:U198"/>
    <mergeCell ref="V196:V198"/>
    <mergeCell ref="W196:W198"/>
    <mergeCell ref="X196:X198"/>
    <mergeCell ref="U199:U201"/>
    <mergeCell ref="V199:V201"/>
    <mergeCell ref="W199:W201"/>
    <mergeCell ref="X199:X201"/>
    <mergeCell ref="U202:U204"/>
    <mergeCell ref="V202:V204"/>
    <mergeCell ref="W202:W204"/>
    <mergeCell ref="X202:X204"/>
    <mergeCell ref="U205:U207"/>
    <mergeCell ref="V205:V207"/>
    <mergeCell ref="W205:W207"/>
    <mergeCell ref="X205:X207"/>
    <mergeCell ref="U208:U210"/>
    <mergeCell ref="V208:V210"/>
    <mergeCell ref="W208:W210"/>
    <mergeCell ref="X208:X210"/>
    <mergeCell ref="U181:U183"/>
    <mergeCell ref="V181:V183"/>
    <mergeCell ref="W181:W183"/>
    <mergeCell ref="X181:X183"/>
    <mergeCell ref="U184:U186"/>
    <mergeCell ref="V184:V186"/>
    <mergeCell ref="W184:W186"/>
    <mergeCell ref="X184:X186"/>
    <mergeCell ref="U187:U189"/>
    <mergeCell ref="V187:V189"/>
    <mergeCell ref="W187:W189"/>
    <mergeCell ref="X187:X189"/>
    <mergeCell ref="U190:U192"/>
    <mergeCell ref="V190:V192"/>
    <mergeCell ref="W190:W192"/>
    <mergeCell ref="X190:X192"/>
    <mergeCell ref="U193:U195"/>
    <mergeCell ref="V193:V195"/>
    <mergeCell ref="W193:W195"/>
    <mergeCell ref="X193:X195"/>
    <mergeCell ref="U166:U168"/>
    <mergeCell ref="V166:V168"/>
    <mergeCell ref="W166:W168"/>
    <mergeCell ref="X166:X168"/>
    <mergeCell ref="U169:U171"/>
    <mergeCell ref="V169:V171"/>
    <mergeCell ref="W169:W171"/>
    <mergeCell ref="X169:X171"/>
    <mergeCell ref="U172:U174"/>
    <mergeCell ref="V172:V174"/>
    <mergeCell ref="W172:W174"/>
    <mergeCell ref="X172:X174"/>
    <mergeCell ref="U175:U177"/>
    <mergeCell ref="V175:V177"/>
    <mergeCell ref="W175:W177"/>
    <mergeCell ref="X175:X177"/>
    <mergeCell ref="U178:U180"/>
    <mergeCell ref="V178:V180"/>
    <mergeCell ref="W178:W180"/>
    <mergeCell ref="X178:X180"/>
    <mergeCell ref="U151:U153"/>
    <mergeCell ref="V151:V153"/>
    <mergeCell ref="W151:W153"/>
    <mergeCell ref="X151:X153"/>
    <mergeCell ref="U154:U156"/>
    <mergeCell ref="V154:V156"/>
    <mergeCell ref="W154:W156"/>
    <mergeCell ref="X154:X156"/>
    <mergeCell ref="U157:U159"/>
    <mergeCell ref="V157:V159"/>
    <mergeCell ref="W157:W159"/>
    <mergeCell ref="X157:X159"/>
    <mergeCell ref="U160:U162"/>
    <mergeCell ref="V160:V162"/>
    <mergeCell ref="W160:W162"/>
    <mergeCell ref="X160:X162"/>
    <mergeCell ref="U163:U165"/>
    <mergeCell ref="V163:V165"/>
    <mergeCell ref="W163:W165"/>
    <mergeCell ref="X163:X165"/>
    <mergeCell ref="U136:U138"/>
    <mergeCell ref="V136:V138"/>
    <mergeCell ref="W136:W138"/>
    <mergeCell ref="X136:X138"/>
    <mergeCell ref="U139:U141"/>
    <mergeCell ref="V139:V141"/>
    <mergeCell ref="W139:W141"/>
    <mergeCell ref="X139:X141"/>
    <mergeCell ref="U142:U144"/>
    <mergeCell ref="V142:V144"/>
    <mergeCell ref="W142:W144"/>
    <mergeCell ref="X142:X144"/>
    <mergeCell ref="U145:U147"/>
    <mergeCell ref="V145:V147"/>
    <mergeCell ref="W145:W147"/>
    <mergeCell ref="X145:X147"/>
    <mergeCell ref="U148:U150"/>
    <mergeCell ref="V148:V150"/>
    <mergeCell ref="W148:W150"/>
    <mergeCell ref="X148:X150"/>
    <mergeCell ref="U121:U123"/>
    <mergeCell ref="V121:V123"/>
    <mergeCell ref="W121:W123"/>
    <mergeCell ref="X121:X123"/>
    <mergeCell ref="U124:U126"/>
    <mergeCell ref="V124:V126"/>
    <mergeCell ref="W124:W126"/>
    <mergeCell ref="X124:X126"/>
    <mergeCell ref="U127:U129"/>
    <mergeCell ref="V127:V129"/>
    <mergeCell ref="W127:W129"/>
    <mergeCell ref="X127:X129"/>
    <mergeCell ref="U130:U132"/>
    <mergeCell ref="V130:V132"/>
    <mergeCell ref="W130:W132"/>
    <mergeCell ref="X130:X132"/>
    <mergeCell ref="U133:U135"/>
    <mergeCell ref="V133:V135"/>
    <mergeCell ref="W133:W135"/>
    <mergeCell ref="X133:X135"/>
    <mergeCell ref="U106:U108"/>
    <mergeCell ref="V106:V108"/>
    <mergeCell ref="W106:W108"/>
    <mergeCell ref="X106:X108"/>
    <mergeCell ref="U109:U111"/>
    <mergeCell ref="V109:V111"/>
    <mergeCell ref="W109:W111"/>
    <mergeCell ref="X109:X111"/>
    <mergeCell ref="U112:U114"/>
    <mergeCell ref="V112:V114"/>
    <mergeCell ref="W112:W114"/>
    <mergeCell ref="X112:X114"/>
    <mergeCell ref="U115:U117"/>
    <mergeCell ref="V115:V117"/>
    <mergeCell ref="W115:W117"/>
    <mergeCell ref="X115:X117"/>
    <mergeCell ref="U118:U120"/>
    <mergeCell ref="V118:V120"/>
    <mergeCell ref="W118:W120"/>
    <mergeCell ref="X118:X120"/>
    <mergeCell ref="U91:U93"/>
    <mergeCell ref="V91:V93"/>
    <mergeCell ref="W91:W93"/>
    <mergeCell ref="X91:X93"/>
    <mergeCell ref="U94:U96"/>
    <mergeCell ref="V94:V96"/>
    <mergeCell ref="W94:W96"/>
    <mergeCell ref="X94:X96"/>
    <mergeCell ref="U97:U99"/>
    <mergeCell ref="V97:V99"/>
    <mergeCell ref="W97:W99"/>
    <mergeCell ref="X97:X99"/>
    <mergeCell ref="U100:U102"/>
    <mergeCell ref="V100:V102"/>
    <mergeCell ref="W100:W102"/>
    <mergeCell ref="X100:X102"/>
    <mergeCell ref="U103:U105"/>
    <mergeCell ref="V103:V105"/>
    <mergeCell ref="W103:W105"/>
    <mergeCell ref="X103:X105"/>
    <mergeCell ref="U76:U78"/>
    <mergeCell ref="V76:V78"/>
    <mergeCell ref="W76:W78"/>
    <mergeCell ref="X76:X78"/>
    <mergeCell ref="U79:U81"/>
    <mergeCell ref="V79:V81"/>
    <mergeCell ref="W79:W81"/>
    <mergeCell ref="X79:X81"/>
    <mergeCell ref="U82:U84"/>
    <mergeCell ref="V82:V84"/>
    <mergeCell ref="W82:W84"/>
    <mergeCell ref="X82:X84"/>
    <mergeCell ref="U85:U87"/>
    <mergeCell ref="V85:V87"/>
    <mergeCell ref="W85:W87"/>
    <mergeCell ref="X85:X87"/>
    <mergeCell ref="U88:U90"/>
    <mergeCell ref="V88:V90"/>
    <mergeCell ref="W88:W90"/>
    <mergeCell ref="X88:X90"/>
    <mergeCell ref="U61:U63"/>
    <mergeCell ref="V61:V63"/>
    <mergeCell ref="W61:W63"/>
    <mergeCell ref="X61:X63"/>
    <mergeCell ref="U64:U66"/>
    <mergeCell ref="V64:V66"/>
    <mergeCell ref="W64:W66"/>
    <mergeCell ref="X64:X66"/>
    <mergeCell ref="U67:U69"/>
    <mergeCell ref="V67:V69"/>
    <mergeCell ref="W67:W69"/>
    <mergeCell ref="X67:X69"/>
    <mergeCell ref="U70:U72"/>
    <mergeCell ref="V70:V72"/>
    <mergeCell ref="W70:W72"/>
    <mergeCell ref="X70:X72"/>
    <mergeCell ref="U73:U75"/>
    <mergeCell ref="V73:V75"/>
    <mergeCell ref="W73:W75"/>
    <mergeCell ref="X73:X75"/>
    <mergeCell ref="U46:U48"/>
    <mergeCell ref="V46:V48"/>
    <mergeCell ref="W46:W48"/>
    <mergeCell ref="X46:X48"/>
    <mergeCell ref="U49:U51"/>
    <mergeCell ref="V49:V51"/>
    <mergeCell ref="W49:W51"/>
    <mergeCell ref="X49:X51"/>
    <mergeCell ref="U52:U54"/>
    <mergeCell ref="V52:V54"/>
    <mergeCell ref="W52:W54"/>
    <mergeCell ref="X52:X54"/>
    <mergeCell ref="U55:U57"/>
    <mergeCell ref="V55:V57"/>
    <mergeCell ref="W55:W57"/>
    <mergeCell ref="X55:X57"/>
    <mergeCell ref="U58:U60"/>
    <mergeCell ref="V58:V60"/>
    <mergeCell ref="W58:W60"/>
    <mergeCell ref="X58:X60"/>
    <mergeCell ref="U31:U33"/>
    <mergeCell ref="V31:V33"/>
    <mergeCell ref="W31:W33"/>
    <mergeCell ref="X31:X33"/>
    <mergeCell ref="U34:U36"/>
    <mergeCell ref="V34:V36"/>
    <mergeCell ref="W34:W36"/>
    <mergeCell ref="X34:X36"/>
    <mergeCell ref="U37:U39"/>
    <mergeCell ref="V37:V39"/>
    <mergeCell ref="W37:W39"/>
    <mergeCell ref="X37:X39"/>
    <mergeCell ref="U40:U42"/>
    <mergeCell ref="V40:V42"/>
    <mergeCell ref="W40:W42"/>
    <mergeCell ref="X40:X42"/>
    <mergeCell ref="U43:U45"/>
    <mergeCell ref="V43:V45"/>
    <mergeCell ref="W43:W45"/>
    <mergeCell ref="X43:X45"/>
    <mergeCell ref="U16:U18"/>
    <mergeCell ref="V16:V18"/>
    <mergeCell ref="W16:W18"/>
    <mergeCell ref="X16:X18"/>
    <mergeCell ref="U19:U21"/>
    <mergeCell ref="V19:V21"/>
    <mergeCell ref="W19:W21"/>
    <mergeCell ref="X19:X21"/>
    <mergeCell ref="U22:U24"/>
    <mergeCell ref="V22:V24"/>
    <mergeCell ref="W22:W24"/>
    <mergeCell ref="X22:X24"/>
    <mergeCell ref="U25:U27"/>
    <mergeCell ref="V25:V27"/>
    <mergeCell ref="W25:W27"/>
    <mergeCell ref="X25:X27"/>
    <mergeCell ref="U28:U30"/>
    <mergeCell ref="V28:V30"/>
    <mergeCell ref="W28:W30"/>
    <mergeCell ref="X28:X30"/>
    <mergeCell ref="V1:V3"/>
    <mergeCell ref="W1:W3"/>
    <mergeCell ref="X1:X3"/>
    <mergeCell ref="U2:U3"/>
    <mergeCell ref="U4:U6"/>
    <mergeCell ref="V4:V6"/>
    <mergeCell ref="W4:W6"/>
    <mergeCell ref="X4:X6"/>
    <mergeCell ref="U7:U9"/>
    <mergeCell ref="V7:V9"/>
    <mergeCell ref="W7:W9"/>
    <mergeCell ref="X7:X9"/>
    <mergeCell ref="U10:U12"/>
    <mergeCell ref="V10:V12"/>
    <mergeCell ref="W10:W12"/>
    <mergeCell ref="X10:X12"/>
    <mergeCell ref="U13:U15"/>
    <mergeCell ref="V13:V15"/>
    <mergeCell ref="W13:W15"/>
    <mergeCell ref="X13:X15"/>
    <mergeCell ref="F220:F222"/>
    <mergeCell ref="F223:F225"/>
    <mergeCell ref="F226:F228"/>
    <mergeCell ref="F331:F333"/>
    <mergeCell ref="A316:A318"/>
    <mergeCell ref="B316:B318"/>
    <mergeCell ref="C316:C318"/>
    <mergeCell ref="F316:F318"/>
    <mergeCell ref="G316:G318"/>
    <mergeCell ref="H316:H318"/>
    <mergeCell ref="I316:I318"/>
    <mergeCell ref="J316:J318"/>
    <mergeCell ref="K316:K318"/>
    <mergeCell ref="L316:L318"/>
    <mergeCell ref="M316:M318"/>
    <mergeCell ref="Q316:Q318"/>
    <mergeCell ref="A322:A324"/>
    <mergeCell ref="B322:B324"/>
    <mergeCell ref="C322:C324"/>
    <mergeCell ref="F322:F324"/>
    <mergeCell ref="G322:G324"/>
    <mergeCell ref="H322:H324"/>
    <mergeCell ref="I322:I324"/>
    <mergeCell ref="J322:J324"/>
    <mergeCell ref="K322:K324"/>
    <mergeCell ref="L322:L324"/>
    <mergeCell ref="M322:M324"/>
    <mergeCell ref="Q322:Q324"/>
    <mergeCell ref="C328:C330"/>
    <mergeCell ref="F328:F330"/>
    <mergeCell ref="G328:G330"/>
    <mergeCell ref="H328:H330"/>
    <mergeCell ref="R316:R318"/>
    <mergeCell ref="S316:S318"/>
    <mergeCell ref="T316:T318"/>
    <mergeCell ref="A313:A315"/>
    <mergeCell ref="B313:B315"/>
    <mergeCell ref="C313:C315"/>
    <mergeCell ref="F313:F315"/>
    <mergeCell ref="G313:G315"/>
    <mergeCell ref="H313:H315"/>
    <mergeCell ref="I313:I315"/>
    <mergeCell ref="J313:J315"/>
    <mergeCell ref="K313:K315"/>
    <mergeCell ref="L313:L315"/>
    <mergeCell ref="M313:M315"/>
    <mergeCell ref="Q313:Q315"/>
    <mergeCell ref="R313:R315"/>
    <mergeCell ref="S313:S315"/>
    <mergeCell ref="T313:T315"/>
    <mergeCell ref="D316:D318"/>
    <mergeCell ref="E316:E318"/>
    <mergeCell ref="R322:R324"/>
    <mergeCell ref="S322:S324"/>
    <mergeCell ref="T322:T324"/>
    <mergeCell ref="A319:A321"/>
    <mergeCell ref="B319:B321"/>
    <mergeCell ref="C319:C321"/>
    <mergeCell ref="F319:F321"/>
    <mergeCell ref="G319:G321"/>
    <mergeCell ref="H319:H321"/>
    <mergeCell ref="I319:I321"/>
    <mergeCell ref="J319:J321"/>
    <mergeCell ref="K319:K321"/>
    <mergeCell ref="L319:L321"/>
    <mergeCell ref="M319:M321"/>
    <mergeCell ref="Q319:Q321"/>
    <mergeCell ref="R319:R321"/>
    <mergeCell ref="S319:S321"/>
    <mergeCell ref="T319:T321"/>
    <mergeCell ref="D319:D321"/>
    <mergeCell ref="E319:E321"/>
    <mergeCell ref="D322:D324"/>
    <mergeCell ref="E322:E324"/>
    <mergeCell ref="A325:A327"/>
    <mergeCell ref="B325:B327"/>
    <mergeCell ref="C325:C327"/>
    <mergeCell ref="F325:F327"/>
    <mergeCell ref="G325:G327"/>
    <mergeCell ref="H325:H327"/>
    <mergeCell ref="I325:I327"/>
    <mergeCell ref="J325:J327"/>
    <mergeCell ref="K325:K327"/>
    <mergeCell ref="L325:L327"/>
    <mergeCell ref="M325:M327"/>
    <mergeCell ref="Q325:Q327"/>
    <mergeCell ref="R325:R327"/>
    <mergeCell ref="S325:S327"/>
    <mergeCell ref="T325:T327"/>
    <mergeCell ref="D325:D327"/>
    <mergeCell ref="E325:E327"/>
    <mergeCell ref="A289:A291"/>
    <mergeCell ref="B289:B291"/>
    <mergeCell ref="C289:C291"/>
    <mergeCell ref="F289:F291"/>
    <mergeCell ref="G289:G291"/>
    <mergeCell ref="H289:H291"/>
    <mergeCell ref="I289:I291"/>
    <mergeCell ref="J289:J291"/>
    <mergeCell ref="K289:K291"/>
    <mergeCell ref="L289:L291"/>
    <mergeCell ref="M289:M291"/>
    <mergeCell ref="Q289:Q291"/>
    <mergeCell ref="R289:R291"/>
    <mergeCell ref="S289:S291"/>
    <mergeCell ref="T289:T291"/>
    <mergeCell ref="A307:A309"/>
    <mergeCell ref="B307:B309"/>
    <mergeCell ref="C307:C309"/>
    <mergeCell ref="F307:F309"/>
    <mergeCell ref="G307:G309"/>
    <mergeCell ref="H307:H309"/>
    <mergeCell ref="I307:I309"/>
    <mergeCell ref="J307:J309"/>
    <mergeCell ref="K307:K309"/>
    <mergeCell ref="L307:L309"/>
    <mergeCell ref="M307:M309"/>
    <mergeCell ref="Q307:Q309"/>
    <mergeCell ref="R307:R309"/>
    <mergeCell ref="S307:S309"/>
    <mergeCell ref="T307:T309"/>
    <mergeCell ref="A301:A303"/>
    <mergeCell ref="B301:B303"/>
    <mergeCell ref="A283:A285"/>
    <mergeCell ref="B283:B285"/>
    <mergeCell ref="C283:C285"/>
    <mergeCell ref="F283:F285"/>
    <mergeCell ref="G283:G285"/>
    <mergeCell ref="H283:H285"/>
    <mergeCell ref="I283:I285"/>
    <mergeCell ref="J283:J285"/>
    <mergeCell ref="K283:K285"/>
    <mergeCell ref="L283:L285"/>
    <mergeCell ref="M283:M285"/>
    <mergeCell ref="Q283:Q285"/>
    <mergeCell ref="R283:R285"/>
    <mergeCell ref="S283:S285"/>
    <mergeCell ref="T283:T285"/>
    <mergeCell ref="A286:A288"/>
    <mergeCell ref="B286:B288"/>
    <mergeCell ref="C286:C288"/>
    <mergeCell ref="F286:F288"/>
    <mergeCell ref="G286:G288"/>
    <mergeCell ref="H286:H288"/>
    <mergeCell ref="I286:I288"/>
    <mergeCell ref="J286:J288"/>
    <mergeCell ref="K286:K288"/>
    <mergeCell ref="L286:L288"/>
    <mergeCell ref="M286:M288"/>
    <mergeCell ref="Q286:Q288"/>
    <mergeCell ref="R286:R288"/>
    <mergeCell ref="S286:S288"/>
    <mergeCell ref="T286:T288"/>
    <mergeCell ref="G169:G171"/>
    <mergeCell ref="G172:G174"/>
    <mergeCell ref="G37:G39"/>
    <mergeCell ref="G40:G42"/>
    <mergeCell ref="G361:G363"/>
    <mergeCell ref="G364:G366"/>
    <mergeCell ref="G112:G114"/>
    <mergeCell ref="G109:G111"/>
    <mergeCell ref="Q2:S2"/>
    <mergeCell ref="A1:A3"/>
    <mergeCell ref="B1:B3"/>
    <mergeCell ref="H1:L1"/>
    <mergeCell ref="G310:G312"/>
    <mergeCell ref="G343:G345"/>
    <mergeCell ref="F40:F42"/>
    <mergeCell ref="H40:H42"/>
    <mergeCell ref="F112:F114"/>
    <mergeCell ref="Q115:Q117"/>
    <mergeCell ref="R115:R117"/>
    <mergeCell ref="S115:S117"/>
    <mergeCell ref="G91:G93"/>
    <mergeCell ref="A115:A117"/>
    <mergeCell ref="B115:B117"/>
    <mergeCell ref="C115:C117"/>
    <mergeCell ref="F115:F117"/>
    <mergeCell ref="H115:H117"/>
    <mergeCell ref="I115:I117"/>
    <mergeCell ref="J115:J117"/>
    <mergeCell ref="A94:A96"/>
    <mergeCell ref="A217:A219"/>
    <mergeCell ref="B217:B219"/>
    <mergeCell ref="C217:C219"/>
    <mergeCell ref="T64:T66"/>
    <mergeCell ref="A208:A210"/>
    <mergeCell ref="B208:B210"/>
    <mergeCell ref="C208:C210"/>
    <mergeCell ref="H208:H210"/>
    <mergeCell ref="I208:I210"/>
    <mergeCell ref="J208:J210"/>
    <mergeCell ref="K64:K66"/>
    <mergeCell ref="L64:L66"/>
    <mergeCell ref="M64:M66"/>
    <mergeCell ref="Q64:Q66"/>
    <mergeCell ref="R64:R66"/>
    <mergeCell ref="S64:S66"/>
    <mergeCell ref="T2:T3"/>
    <mergeCell ref="A64:A66"/>
    <mergeCell ref="G64:G66"/>
    <mergeCell ref="B64:B66"/>
    <mergeCell ref="C64:C66"/>
    <mergeCell ref="F64:F66"/>
    <mergeCell ref="M1:M3"/>
    <mergeCell ref="N1:O3"/>
    <mergeCell ref="P1:P3"/>
    <mergeCell ref="Q1:T1"/>
    <mergeCell ref="C2:C3"/>
    <mergeCell ref="F2:F3"/>
    <mergeCell ref="H2:H3"/>
    <mergeCell ref="I2:I3"/>
    <mergeCell ref="J2:L2"/>
    <mergeCell ref="J64:J66"/>
    <mergeCell ref="A4:A6"/>
    <mergeCell ref="T136:T138"/>
    <mergeCell ref="C157:C159"/>
    <mergeCell ref="F217:F219"/>
    <mergeCell ref="H217:H219"/>
    <mergeCell ref="J217:J219"/>
    <mergeCell ref="K136:K138"/>
    <mergeCell ref="L136:L138"/>
    <mergeCell ref="M136:M138"/>
    <mergeCell ref="Q136:Q138"/>
    <mergeCell ref="R136:R138"/>
    <mergeCell ref="S136:S138"/>
    <mergeCell ref="T208:T210"/>
    <mergeCell ref="A136:A138"/>
    <mergeCell ref="B136:B138"/>
    <mergeCell ref="C136:C138"/>
    <mergeCell ref="F136:F138"/>
    <mergeCell ref="H136:H138"/>
    <mergeCell ref="K208:K210"/>
    <mergeCell ref="J136:J138"/>
    <mergeCell ref="M208:M210"/>
    <mergeCell ref="Q208:Q210"/>
    <mergeCell ref="R208:R210"/>
    <mergeCell ref="S208:S210"/>
    <mergeCell ref="G136:G138"/>
    <mergeCell ref="L208:L210"/>
    <mergeCell ref="I136:I138"/>
    <mergeCell ref="A160:A162"/>
    <mergeCell ref="B160:B162"/>
    <mergeCell ref="Q157:Q159"/>
    <mergeCell ref="R157:R159"/>
    <mergeCell ref="S157:S159"/>
    <mergeCell ref="T154:T156"/>
    <mergeCell ref="A157:A159"/>
    <mergeCell ref="B157:B159"/>
    <mergeCell ref="T220:T222"/>
    <mergeCell ref="A154:A156"/>
    <mergeCell ref="B154:B156"/>
    <mergeCell ref="C154:C156"/>
    <mergeCell ref="F154:F156"/>
    <mergeCell ref="I154:I156"/>
    <mergeCell ref="J154:J156"/>
    <mergeCell ref="K220:K222"/>
    <mergeCell ref="L220:L222"/>
    <mergeCell ref="M220:M222"/>
    <mergeCell ref="Q220:Q222"/>
    <mergeCell ref="R220:R222"/>
    <mergeCell ref="S220:S222"/>
    <mergeCell ref="T217:T219"/>
    <mergeCell ref="A220:A222"/>
    <mergeCell ref="B220:B222"/>
    <mergeCell ref="C220:C222"/>
    <mergeCell ref="G220:G222"/>
    <mergeCell ref="G154:G156"/>
    <mergeCell ref="G217:G219"/>
    <mergeCell ref="H220:H222"/>
    <mergeCell ref="J220:J222"/>
    <mergeCell ref="K217:K219"/>
    <mergeCell ref="L217:L219"/>
    <mergeCell ref="M217:M219"/>
    <mergeCell ref="Q217:Q219"/>
    <mergeCell ref="R217:R219"/>
    <mergeCell ref="S217:S219"/>
    <mergeCell ref="T157:T159"/>
    <mergeCell ref="K157:K159"/>
    <mergeCell ref="L157:L159"/>
    <mergeCell ref="M157:M159"/>
    <mergeCell ref="K154:K156"/>
    <mergeCell ref="L154:L156"/>
    <mergeCell ref="M154:M156"/>
    <mergeCell ref="Q154:Q156"/>
    <mergeCell ref="R154:R156"/>
    <mergeCell ref="S154:S156"/>
    <mergeCell ref="G157:G159"/>
    <mergeCell ref="H133:H135"/>
    <mergeCell ref="I133:I135"/>
    <mergeCell ref="J133:J135"/>
    <mergeCell ref="K163:K165"/>
    <mergeCell ref="L163:L165"/>
    <mergeCell ref="M163:M165"/>
    <mergeCell ref="Q163:Q165"/>
    <mergeCell ref="R163:R165"/>
    <mergeCell ref="S163:S165"/>
    <mergeCell ref="Q148:Q150"/>
    <mergeCell ref="M133:M135"/>
    <mergeCell ref="Q133:Q135"/>
    <mergeCell ref="R133:R135"/>
    <mergeCell ref="S133:S135"/>
    <mergeCell ref="G178:G180"/>
    <mergeCell ref="B124:B126"/>
    <mergeCell ref="T163:T165"/>
    <mergeCell ref="A133:A135"/>
    <mergeCell ref="B133:B135"/>
    <mergeCell ref="C73:C75"/>
    <mergeCell ref="T160:T162"/>
    <mergeCell ref="A163:A165"/>
    <mergeCell ref="B163:B165"/>
    <mergeCell ref="C163:C165"/>
    <mergeCell ref="G160:G162"/>
    <mergeCell ref="F163:F165"/>
    <mergeCell ref="H163:H165"/>
    <mergeCell ref="I163:I165"/>
    <mergeCell ref="J163:J165"/>
    <mergeCell ref="K160:K162"/>
    <mergeCell ref="L160:L162"/>
    <mergeCell ref="M160:M162"/>
    <mergeCell ref="Q160:Q162"/>
    <mergeCell ref="R160:R162"/>
    <mergeCell ref="S160:S162"/>
    <mergeCell ref="G163:G165"/>
    <mergeCell ref="C160:C162"/>
    <mergeCell ref="F160:F162"/>
    <mergeCell ref="J160:J162"/>
    <mergeCell ref="F157:F159"/>
    <mergeCell ref="I157:I159"/>
    <mergeCell ref="J157:J159"/>
    <mergeCell ref="I79:I81"/>
    <mergeCell ref="J79:J81"/>
    <mergeCell ref="K76:K78"/>
    <mergeCell ref="L76:L78"/>
    <mergeCell ref="T70:T72"/>
    <mergeCell ref="A181:A183"/>
    <mergeCell ref="C181:C183"/>
    <mergeCell ref="G70:G72"/>
    <mergeCell ref="F181:F183"/>
    <mergeCell ref="H181:H183"/>
    <mergeCell ref="I181:I183"/>
    <mergeCell ref="J181:J183"/>
    <mergeCell ref="K70:K72"/>
    <mergeCell ref="L70:L72"/>
    <mergeCell ref="M70:M72"/>
    <mergeCell ref="Q70:Q72"/>
    <mergeCell ref="R70:R72"/>
    <mergeCell ref="S70:S72"/>
    <mergeCell ref="G181:G183"/>
    <mergeCell ref="T76:T78"/>
    <mergeCell ref="T178:T180"/>
    <mergeCell ref="A70:A72"/>
    <mergeCell ref="A79:A81"/>
    <mergeCell ref="C79:C81"/>
    <mergeCell ref="F79:F81"/>
    <mergeCell ref="H79:H81"/>
    <mergeCell ref="C70:C72"/>
    <mergeCell ref="F70:F72"/>
    <mergeCell ref="H70:H72"/>
    <mergeCell ref="I70:I72"/>
    <mergeCell ref="J70:J72"/>
    <mergeCell ref="K178:K180"/>
    <mergeCell ref="L178:L180"/>
    <mergeCell ref="M178:M180"/>
    <mergeCell ref="Q178:Q180"/>
    <mergeCell ref="R178:R180"/>
    <mergeCell ref="M76:M78"/>
    <mergeCell ref="Q76:Q78"/>
    <mergeCell ref="R76:R78"/>
    <mergeCell ref="S76:S78"/>
    <mergeCell ref="T73:T75"/>
    <mergeCell ref="A76:A78"/>
    <mergeCell ref="B76:B78"/>
    <mergeCell ref="C76:C78"/>
    <mergeCell ref="G73:G75"/>
    <mergeCell ref="F76:F78"/>
    <mergeCell ref="H76:H78"/>
    <mergeCell ref="I76:I78"/>
    <mergeCell ref="J76:J78"/>
    <mergeCell ref="K73:K75"/>
    <mergeCell ref="L73:L75"/>
    <mergeCell ref="M73:M75"/>
    <mergeCell ref="Q73:Q75"/>
    <mergeCell ref="R73:R75"/>
    <mergeCell ref="S73:S75"/>
    <mergeCell ref="G76:G78"/>
    <mergeCell ref="A73:A75"/>
    <mergeCell ref="B73:B75"/>
    <mergeCell ref="F73:F75"/>
    <mergeCell ref="H73:H75"/>
    <mergeCell ref="I73:I75"/>
    <mergeCell ref="J73:J75"/>
    <mergeCell ref="D76:D78"/>
    <mergeCell ref="E76:E78"/>
    <mergeCell ref="T82:T84"/>
    <mergeCell ref="A223:A225"/>
    <mergeCell ref="C223:C225"/>
    <mergeCell ref="H223:H225"/>
    <mergeCell ref="I223:I225"/>
    <mergeCell ref="J223:J225"/>
    <mergeCell ref="K82:K84"/>
    <mergeCell ref="L82:L84"/>
    <mergeCell ref="M82:M84"/>
    <mergeCell ref="Q82:Q84"/>
    <mergeCell ref="R82:R84"/>
    <mergeCell ref="S82:S84"/>
    <mergeCell ref="T79:T81"/>
    <mergeCell ref="A82:A84"/>
    <mergeCell ref="C82:C84"/>
    <mergeCell ref="G79:G81"/>
    <mergeCell ref="F82:F84"/>
    <mergeCell ref="H82:H84"/>
    <mergeCell ref="I82:I84"/>
    <mergeCell ref="J82:J84"/>
    <mergeCell ref="K79:K81"/>
    <mergeCell ref="L79:L81"/>
    <mergeCell ref="M79:M81"/>
    <mergeCell ref="Q79:Q81"/>
    <mergeCell ref="R79:R81"/>
    <mergeCell ref="S79:S81"/>
    <mergeCell ref="G82:G84"/>
    <mergeCell ref="B223:B225"/>
    <mergeCell ref="B82:B84"/>
    <mergeCell ref="B88:B90"/>
    <mergeCell ref="H88:H90"/>
    <mergeCell ref="I88:I90"/>
    <mergeCell ref="A85:A87"/>
    <mergeCell ref="B85:B87"/>
    <mergeCell ref="C85:C87"/>
    <mergeCell ref="H85:H87"/>
    <mergeCell ref="I85:I87"/>
    <mergeCell ref="J85:J87"/>
    <mergeCell ref="K226:K228"/>
    <mergeCell ref="L226:L228"/>
    <mergeCell ref="M226:M228"/>
    <mergeCell ref="Q226:Q228"/>
    <mergeCell ref="R226:R228"/>
    <mergeCell ref="S226:S228"/>
    <mergeCell ref="T223:T225"/>
    <mergeCell ref="A226:A228"/>
    <mergeCell ref="B226:B228"/>
    <mergeCell ref="C226:C228"/>
    <mergeCell ref="G223:G225"/>
    <mergeCell ref="H226:H228"/>
    <mergeCell ref="I226:I228"/>
    <mergeCell ref="J226:J228"/>
    <mergeCell ref="K223:K225"/>
    <mergeCell ref="L223:L225"/>
    <mergeCell ref="M223:M225"/>
    <mergeCell ref="Q223:Q225"/>
    <mergeCell ref="R223:R225"/>
    <mergeCell ref="S223:S225"/>
    <mergeCell ref="G226:G228"/>
    <mergeCell ref="T85:T87"/>
    <mergeCell ref="A88:A90"/>
    <mergeCell ref="C88:C90"/>
    <mergeCell ref="G85:G87"/>
    <mergeCell ref="K181:K183"/>
    <mergeCell ref="J88:J90"/>
    <mergeCell ref="K85:K87"/>
    <mergeCell ref="L85:L87"/>
    <mergeCell ref="M85:M87"/>
    <mergeCell ref="Q85:Q87"/>
    <mergeCell ref="R85:R87"/>
    <mergeCell ref="S85:S87"/>
    <mergeCell ref="G88:G90"/>
    <mergeCell ref="T88:T90"/>
    <mergeCell ref="K88:K90"/>
    <mergeCell ref="L88:L90"/>
    <mergeCell ref="M88:M90"/>
    <mergeCell ref="Q88:Q90"/>
    <mergeCell ref="R88:R90"/>
    <mergeCell ref="S88:S90"/>
    <mergeCell ref="F85:F87"/>
    <mergeCell ref="F88:F90"/>
    <mergeCell ref="G94:G96"/>
    <mergeCell ref="B94:B96"/>
    <mergeCell ref="T91:T93"/>
    <mergeCell ref="A211:A213"/>
    <mergeCell ref="B211:B213"/>
    <mergeCell ref="C211:C213"/>
    <mergeCell ref="F211:F213"/>
    <mergeCell ref="H211:H213"/>
    <mergeCell ref="I211:I213"/>
    <mergeCell ref="J211:J213"/>
    <mergeCell ref="K91:K93"/>
    <mergeCell ref="L91:L93"/>
    <mergeCell ref="M91:M93"/>
    <mergeCell ref="Q91:Q93"/>
    <mergeCell ref="R91:R93"/>
    <mergeCell ref="S91:S93"/>
    <mergeCell ref="A91:A93"/>
    <mergeCell ref="H157:H159"/>
    <mergeCell ref="A169:A171"/>
    <mergeCell ref="A109:A111"/>
    <mergeCell ref="J109:J111"/>
    <mergeCell ref="F109:F111"/>
    <mergeCell ref="A97:A99"/>
    <mergeCell ref="B97:B99"/>
    <mergeCell ref="C97:C99"/>
    <mergeCell ref="F97:F99"/>
    <mergeCell ref="T181:T183"/>
    <mergeCell ref="C133:C135"/>
    <mergeCell ref="F133:F135"/>
    <mergeCell ref="K148:K150"/>
    <mergeCell ref="L148:L150"/>
    <mergeCell ref="M148:M150"/>
    <mergeCell ref="B70:B72"/>
    <mergeCell ref="B181:B183"/>
    <mergeCell ref="B79:B81"/>
    <mergeCell ref="T94:T96"/>
    <mergeCell ref="K94:K96"/>
    <mergeCell ref="L94:L96"/>
    <mergeCell ref="M94:M96"/>
    <mergeCell ref="Q94:Q96"/>
    <mergeCell ref="R94:R96"/>
    <mergeCell ref="S94:S96"/>
    <mergeCell ref="T211:T213"/>
    <mergeCell ref="T115:T117"/>
    <mergeCell ref="B91:B93"/>
    <mergeCell ref="C91:C93"/>
    <mergeCell ref="G115:G117"/>
    <mergeCell ref="F91:F93"/>
    <mergeCell ref="H91:H93"/>
    <mergeCell ref="I91:I93"/>
    <mergeCell ref="J91:J93"/>
    <mergeCell ref="K115:K117"/>
    <mergeCell ref="L115:L117"/>
    <mergeCell ref="M115:M117"/>
    <mergeCell ref="C94:C96"/>
    <mergeCell ref="G211:G213"/>
    <mergeCell ref="F94:F96"/>
    <mergeCell ref="H94:H96"/>
    <mergeCell ref="I94:I96"/>
    <mergeCell ref="J94:J96"/>
    <mergeCell ref="K211:K213"/>
    <mergeCell ref="L211:L213"/>
    <mergeCell ref="B169:B171"/>
    <mergeCell ref="J148:J150"/>
    <mergeCell ref="A370:A372"/>
    <mergeCell ref="C370:C372"/>
    <mergeCell ref="F370:F372"/>
    <mergeCell ref="H370:H372"/>
    <mergeCell ref="I370:I372"/>
    <mergeCell ref="J370:J372"/>
    <mergeCell ref="K367:K369"/>
    <mergeCell ref="L367:L369"/>
    <mergeCell ref="M367:M369"/>
    <mergeCell ref="Q367:Q369"/>
    <mergeCell ref="R367:R369"/>
    <mergeCell ref="S367:S369"/>
    <mergeCell ref="G370:G372"/>
    <mergeCell ref="B370:B372"/>
    <mergeCell ref="I58:I60"/>
    <mergeCell ref="A367:A369"/>
    <mergeCell ref="B367:B369"/>
    <mergeCell ref="C367:C369"/>
    <mergeCell ref="F367:F369"/>
    <mergeCell ref="I367:I369"/>
    <mergeCell ref="A280:A282"/>
    <mergeCell ref="B280:B282"/>
    <mergeCell ref="C280:C282"/>
    <mergeCell ref="F280:F282"/>
    <mergeCell ref="G280:G282"/>
    <mergeCell ref="H280:H282"/>
    <mergeCell ref="I280:I282"/>
    <mergeCell ref="J280:J282"/>
    <mergeCell ref="K280:K282"/>
    <mergeCell ref="H58:H60"/>
    <mergeCell ref="H367:H369"/>
    <mergeCell ref="I109:I111"/>
    <mergeCell ref="J376:J378"/>
    <mergeCell ref="G373:G375"/>
    <mergeCell ref="G376:G378"/>
    <mergeCell ref="T370:T372"/>
    <mergeCell ref="K370:K372"/>
    <mergeCell ref="L370:L372"/>
    <mergeCell ref="M370:M372"/>
    <mergeCell ref="Q370:Q372"/>
    <mergeCell ref="R370:R372"/>
    <mergeCell ref="S370:S372"/>
    <mergeCell ref="T367:T369"/>
    <mergeCell ref="T373:T375"/>
    <mergeCell ref="K373:K375"/>
    <mergeCell ref="L373:L375"/>
    <mergeCell ref="M373:M375"/>
    <mergeCell ref="Q373:Q375"/>
    <mergeCell ref="R373:R375"/>
    <mergeCell ref="S373:S375"/>
    <mergeCell ref="A328:A330"/>
    <mergeCell ref="B328:B330"/>
    <mergeCell ref="A334:A336"/>
    <mergeCell ref="B334:B336"/>
    <mergeCell ref="C334:C336"/>
    <mergeCell ref="F334:F336"/>
    <mergeCell ref="G334:G336"/>
    <mergeCell ref="H334:H336"/>
    <mergeCell ref="I334:I336"/>
    <mergeCell ref="A331:A333"/>
    <mergeCell ref="B331:B333"/>
    <mergeCell ref="C331:C333"/>
    <mergeCell ref="T376:T378"/>
    <mergeCell ref="K376:K378"/>
    <mergeCell ref="L376:L378"/>
    <mergeCell ref="M376:M378"/>
    <mergeCell ref="Q376:Q378"/>
    <mergeCell ref="R376:R378"/>
    <mergeCell ref="S376:S378"/>
    <mergeCell ref="A373:A375"/>
    <mergeCell ref="B373:B375"/>
    <mergeCell ref="C373:C375"/>
    <mergeCell ref="F373:F375"/>
    <mergeCell ref="H373:H375"/>
    <mergeCell ref="I373:I375"/>
    <mergeCell ref="J373:J375"/>
    <mergeCell ref="A376:A378"/>
    <mergeCell ref="B376:B378"/>
    <mergeCell ref="C376:C378"/>
    <mergeCell ref="F376:F378"/>
    <mergeCell ref="H376:H378"/>
    <mergeCell ref="I376:I378"/>
    <mergeCell ref="T37:T39"/>
    <mergeCell ref="M37:M39"/>
    <mergeCell ref="Q37:Q39"/>
    <mergeCell ref="R37:R39"/>
    <mergeCell ref="F37:F39"/>
    <mergeCell ref="H37:H39"/>
    <mergeCell ref="I37:I39"/>
    <mergeCell ref="J37:J39"/>
    <mergeCell ref="B109:B111"/>
    <mergeCell ref="H109:H111"/>
    <mergeCell ref="H361:H363"/>
    <mergeCell ref="I361:I363"/>
    <mergeCell ref="A343:A345"/>
    <mergeCell ref="B343:B345"/>
    <mergeCell ref="C343:C345"/>
    <mergeCell ref="F343:F345"/>
    <mergeCell ref="H343:H345"/>
    <mergeCell ref="I343:I345"/>
    <mergeCell ref="J343:J345"/>
    <mergeCell ref="K310:K312"/>
    <mergeCell ref="L310:L312"/>
    <mergeCell ref="M310:M312"/>
    <mergeCell ref="Q310:Q312"/>
    <mergeCell ref="R310:R312"/>
    <mergeCell ref="S310:S312"/>
    <mergeCell ref="A310:A312"/>
    <mergeCell ref="B310:B312"/>
    <mergeCell ref="C310:C312"/>
    <mergeCell ref="F310:F312"/>
    <mergeCell ref="H310:H312"/>
    <mergeCell ref="I310:I312"/>
    <mergeCell ref="J310:J312"/>
    <mergeCell ref="M361:M363"/>
    <mergeCell ref="Q361:Q363"/>
    <mergeCell ref="R361:R363"/>
    <mergeCell ref="S361:S363"/>
    <mergeCell ref="T172:T174"/>
    <mergeCell ref="K172:K174"/>
    <mergeCell ref="L172:L174"/>
    <mergeCell ref="M172:M174"/>
    <mergeCell ref="Q172:Q174"/>
    <mergeCell ref="R172:R174"/>
    <mergeCell ref="S172:S174"/>
    <mergeCell ref="T169:T171"/>
    <mergeCell ref="C169:C171"/>
    <mergeCell ref="F169:F171"/>
    <mergeCell ref="H169:H171"/>
    <mergeCell ref="I169:I171"/>
    <mergeCell ref="J169:J171"/>
    <mergeCell ref="L280:L282"/>
    <mergeCell ref="M280:M282"/>
    <mergeCell ref="Q280:Q282"/>
    <mergeCell ref="R280:R282"/>
    <mergeCell ref="S280:S282"/>
    <mergeCell ref="T280:T282"/>
    <mergeCell ref="T343:T345"/>
    <mergeCell ref="K343:K345"/>
    <mergeCell ref="L343:L345"/>
    <mergeCell ref="M343:M345"/>
    <mergeCell ref="Q343:Q345"/>
    <mergeCell ref="R343:R345"/>
    <mergeCell ref="S343:S345"/>
    <mergeCell ref="T310:T312"/>
    <mergeCell ref="T226:T228"/>
    <mergeCell ref="T40:T42"/>
    <mergeCell ref="K40:K42"/>
    <mergeCell ref="A172:A174"/>
    <mergeCell ref="B172:B174"/>
    <mergeCell ref="A361:A363"/>
    <mergeCell ref="C37:C39"/>
    <mergeCell ref="C40:C42"/>
    <mergeCell ref="A37:A39"/>
    <mergeCell ref="L364:L366"/>
    <mergeCell ref="M364:M366"/>
    <mergeCell ref="Q364:Q366"/>
    <mergeCell ref="R364:R366"/>
    <mergeCell ref="S364:S366"/>
    <mergeCell ref="T361:T363"/>
    <mergeCell ref="A364:A366"/>
    <mergeCell ref="B364:B366"/>
    <mergeCell ref="F364:F366"/>
    <mergeCell ref="H364:H366"/>
    <mergeCell ref="I364:I366"/>
    <mergeCell ref="L40:L42"/>
    <mergeCell ref="M40:M42"/>
    <mergeCell ref="Q40:Q42"/>
    <mergeCell ref="R40:R42"/>
    <mergeCell ref="S40:S42"/>
    <mergeCell ref="J40:J42"/>
    <mergeCell ref="K37:K39"/>
    <mergeCell ref="L37:L39"/>
    <mergeCell ref="B361:B363"/>
    <mergeCell ref="F361:F363"/>
    <mergeCell ref="S37:S39"/>
    <mergeCell ref="B37:B39"/>
    <mergeCell ref="L361:L363"/>
    <mergeCell ref="J361:J363"/>
    <mergeCell ref="T364:T366"/>
    <mergeCell ref="A112:A114"/>
    <mergeCell ref="B112:B114"/>
    <mergeCell ref="C112:C114"/>
    <mergeCell ref="C364:C366"/>
    <mergeCell ref="C361:C363"/>
    <mergeCell ref="H112:H114"/>
    <mergeCell ref="I112:I114"/>
    <mergeCell ref="J112:J114"/>
    <mergeCell ref="K364:K366"/>
    <mergeCell ref="J364:J366"/>
    <mergeCell ref="K361:K363"/>
    <mergeCell ref="T112:T114"/>
    <mergeCell ref="K112:K114"/>
    <mergeCell ref="L112:L114"/>
    <mergeCell ref="M112:M114"/>
    <mergeCell ref="Q112:Q114"/>
    <mergeCell ref="R112:R114"/>
    <mergeCell ref="S112:S114"/>
    <mergeCell ref="A229:A231"/>
    <mergeCell ref="B229:B231"/>
    <mergeCell ref="C229:C231"/>
    <mergeCell ref="F229:F231"/>
    <mergeCell ref="G229:G231"/>
    <mergeCell ref="M229:M231"/>
    <mergeCell ref="Q229:Q231"/>
    <mergeCell ref="R229:R231"/>
    <mergeCell ref="S229:S231"/>
    <mergeCell ref="T229:T231"/>
    <mergeCell ref="A232:A234"/>
    <mergeCell ref="B232:B234"/>
    <mergeCell ref="C148:C150"/>
    <mergeCell ref="F148:F150"/>
    <mergeCell ref="I64:I66"/>
    <mergeCell ref="C1:G1"/>
    <mergeCell ref="H64:H66"/>
    <mergeCell ref="F208:F210"/>
    <mergeCell ref="G208:G210"/>
    <mergeCell ref="I217:I219"/>
    <mergeCell ref="I220:I222"/>
    <mergeCell ref="H154:H156"/>
    <mergeCell ref="B4:B6"/>
    <mergeCell ref="C4:C6"/>
    <mergeCell ref="T109:T111"/>
    <mergeCell ref="K109:K111"/>
    <mergeCell ref="L109:L111"/>
    <mergeCell ref="M109:M111"/>
    <mergeCell ref="Q109:Q111"/>
    <mergeCell ref="R109:R111"/>
    <mergeCell ref="S109:S111"/>
    <mergeCell ref="C109:C111"/>
    <mergeCell ref="C172:C174"/>
    <mergeCell ref="F172:F174"/>
    <mergeCell ref="H172:H174"/>
    <mergeCell ref="I172:I174"/>
    <mergeCell ref="J172:J174"/>
    <mergeCell ref="K169:K171"/>
    <mergeCell ref="L169:L171"/>
    <mergeCell ref="M169:M171"/>
    <mergeCell ref="Q169:Q171"/>
    <mergeCell ref="R169:R171"/>
    <mergeCell ref="S169:S171"/>
    <mergeCell ref="G148:G150"/>
    <mergeCell ref="J232:J234"/>
    <mergeCell ref="K232:K234"/>
    <mergeCell ref="L232:L234"/>
    <mergeCell ref="M232:M234"/>
    <mergeCell ref="T232:T234"/>
    <mergeCell ref="Q232:Q234"/>
    <mergeCell ref="R232:R234"/>
    <mergeCell ref="S232:S234"/>
    <mergeCell ref="D232:D234"/>
    <mergeCell ref="E232:E234"/>
    <mergeCell ref="G97:G99"/>
    <mergeCell ref="H97:H99"/>
    <mergeCell ref="I97:I99"/>
    <mergeCell ref="J97:J99"/>
    <mergeCell ref="K97:K99"/>
    <mergeCell ref="L97:L99"/>
    <mergeCell ref="M97:M99"/>
    <mergeCell ref="Q97:Q99"/>
    <mergeCell ref="R97:R99"/>
    <mergeCell ref="S97:S99"/>
    <mergeCell ref="T97:T99"/>
    <mergeCell ref="Q124:Q126"/>
    <mergeCell ref="Q145:Q147"/>
    <mergeCell ref="R145:R147"/>
    <mergeCell ref="S145:S147"/>
    <mergeCell ref="T145:T147"/>
    <mergeCell ref="H148:H150"/>
    <mergeCell ref="I148:I150"/>
    <mergeCell ref="I178:I180"/>
    <mergeCell ref="J178:J180"/>
    <mergeCell ref="K133:K135"/>
    <mergeCell ref="L133:L135"/>
    <mergeCell ref="C235:C237"/>
    <mergeCell ref="F235:F237"/>
    <mergeCell ref="G235:G237"/>
    <mergeCell ref="H235:H237"/>
    <mergeCell ref="I235:I237"/>
    <mergeCell ref="J235:J237"/>
    <mergeCell ref="K235:K237"/>
    <mergeCell ref="L235:L237"/>
    <mergeCell ref="M235:M237"/>
    <mergeCell ref="Q235:Q237"/>
    <mergeCell ref="R235:R237"/>
    <mergeCell ref="S235:S237"/>
    <mergeCell ref="T235:T237"/>
    <mergeCell ref="Q175:Q177"/>
    <mergeCell ref="R175:R177"/>
    <mergeCell ref="S175:S177"/>
    <mergeCell ref="T175:T177"/>
    <mergeCell ref="T184:T186"/>
    <mergeCell ref="C214:C216"/>
    <mergeCell ref="F214:F216"/>
    <mergeCell ref="G214:G216"/>
    <mergeCell ref="H214:H216"/>
    <mergeCell ref="T187:T189"/>
    <mergeCell ref="T190:T192"/>
    <mergeCell ref="R199:R201"/>
    <mergeCell ref="S199:S201"/>
    <mergeCell ref="T199:T201"/>
    <mergeCell ref="C202:C204"/>
    <mergeCell ref="C232:C234"/>
    <mergeCell ref="F232:F234"/>
    <mergeCell ref="H232:H234"/>
    <mergeCell ref="I232:I234"/>
    <mergeCell ref="C238:C240"/>
    <mergeCell ref="F238:F240"/>
    <mergeCell ref="H238:H240"/>
    <mergeCell ref="I238:I240"/>
    <mergeCell ref="J238:J240"/>
    <mergeCell ref="K238:K240"/>
    <mergeCell ref="L238:L240"/>
    <mergeCell ref="M238:M240"/>
    <mergeCell ref="A124:A126"/>
    <mergeCell ref="B127:B129"/>
    <mergeCell ref="C124:C126"/>
    <mergeCell ref="F124:F126"/>
    <mergeCell ref="G124:G126"/>
    <mergeCell ref="H124:H126"/>
    <mergeCell ref="I124:I126"/>
    <mergeCell ref="J124:J126"/>
    <mergeCell ref="K124:K126"/>
    <mergeCell ref="L124:L126"/>
    <mergeCell ref="M124:M126"/>
    <mergeCell ref="B130:B132"/>
    <mergeCell ref="C130:C132"/>
    <mergeCell ref="F130:F132"/>
    <mergeCell ref="G130:G132"/>
    <mergeCell ref="H130:H132"/>
    <mergeCell ref="I130:I132"/>
    <mergeCell ref="J130:J132"/>
    <mergeCell ref="K130:K132"/>
    <mergeCell ref="L145:L147"/>
    <mergeCell ref="M145:M147"/>
    <mergeCell ref="B148:B150"/>
    <mergeCell ref="A235:A237"/>
    <mergeCell ref="B235:B237"/>
    <mergeCell ref="R124:R126"/>
    <mergeCell ref="S124:S126"/>
    <mergeCell ref="T124:T126"/>
    <mergeCell ref="A175:A177"/>
    <mergeCell ref="B175:B177"/>
    <mergeCell ref="C175:C177"/>
    <mergeCell ref="F175:F177"/>
    <mergeCell ref="G175:G177"/>
    <mergeCell ref="H175:H177"/>
    <mergeCell ref="I175:I177"/>
    <mergeCell ref="J175:J177"/>
    <mergeCell ref="K175:K177"/>
    <mergeCell ref="L175:L177"/>
    <mergeCell ref="M175:M177"/>
    <mergeCell ref="A127:A129"/>
    <mergeCell ref="C127:C129"/>
    <mergeCell ref="F127:F129"/>
    <mergeCell ref="G127:G129"/>
    <mergeCell ref="H127:H129"/>
    <mergeCell ref="I127:I129"/>
    <mergeCell ref="J127:J129"/>
    <mergeCell ref="K127:K129"/>
    <mergeCell ref="L127:L129"/>
    <mergeCell ref="M127:M129"/>
    <mergeCell ref="Q127:Q129"/>
    <mergeCell ref="R127:R129"/>
    <mergeCell ref="S127:S129"/>
    <mergeCell ref="T127:T129"/>
    <mergeCell ref="T133:T135"/>
    <mergeCell ref="G133:G135"/>
    <mergeCell ref="H160:H162"/>
    <mergeCell ref="I160:I162"/>
    <mergeCell ref="A103:A105"/>
    <mergeCell ref="B103:B105"/>
    <mergeCell ref="C103:C105"/>
    <mergeCell ref="F103:F105"/>
    <mergeCell ref="G103:G105"/>
    <mergeCell ref="H103:H105"/>
    <mergeCell ref="I103:I105"/>
    <mergeCell ref="J103:J105"/>
    <mergeCell ref="K103:K105"/>
    <mergeCell ref="L103:L105"/>
    <mergeCell ref="M103:M105"/>
    <mergeCell ref="Q103:Q105"/>
    <mergeCell ref="R103:R105"/>
    <mergeCell ref="S103:S105"/>
    <mergeCell ref="T103:T105"/>
    <mergeCell ref="A148:A150"/>
    <mergeCell ref="A100:A102"/>
    <mergeCell ref="B100:B102"/>
    <mergeCell ref="C100:C102"/>
    <mergeCell ref="F100:F102"/>
    <mergeCell ref="G100:G102"/>
    <mergeCell ref="H100:H102"/>
    <mergeCell ref="I100:I102"/>
    <mergeCell ref="J100:J102"/>
    <mergeCell ref="K100:K102"/>
    <mergeCell ref="L100:L102"/>
    <mergeCell ref="M100:M102"/>
    <mergeCell ref="Q100:Q102"/>
    <mergeCell ref="R100:R102"/>
    <mergeCell ref="S100:S102"/>
    <mergeCell ref="T100:T102"/>
    <mergeCell ref="A106:A108"/>
    <mergeCell ref="A358:A360"/>
    <mergeCell ref="B358:B360"/>
    <mergeCell ref="C358:C360"/>
    <mergeCell ref="F358:F360"/>
    <mergeCell ref="G358:G360"/>
    <mergeCell ref="H358:H360"/>
    <mergeCell ref="I358:I360"/>
    <mergeCell ref="J358:J360"/>
    <mergeCell ref="K358:K360"/>
    <mergeCell ref="L358:L360"/>
    <mergeCell ref="M358:M360"/>
    <mergeCell ref="Q358:Q360"/>
    <mergeCell ref="R358:R360"/>
    <mergeCell ref="S358:S360"/>
    <mergeCell ref="T358:T360"/>
    <mergeCell ref="D358:D360"/>
    <mergeCell ref="E358:E360"/>
    <mergeCell ref="H241:H243"/>
    <mergeCell ref="I241:I243"/>
    <mergeCell ref="J241:J243"/>
    <mergeCell ref="K241:K243"/>
    <mergeCell ref="L241:L243"/>
    <mergeCell ref="M241:M243"/>
    <mergeCell ref="Q241:Q243"/>
    <mergeCell ref="R241:R243"/>
    <mergeCell ref="S241:S243"/>
    <mergeCell ref="T241:T243"/>
    <mergeCell ref="L184:L186"/>
    <mergeCell ref="M184:M186"/>
    <mergeCell ref="Q184:Q186"/>
    <mergeCell ref="R184:R186"/>
    <mergeCell ref="S184:S186"/>
    <mergeCell ref="A355:A357"/>
    <mergeCell ref="B355:B357"/>
    <mergeCell ref="C355:C357"/>
    <mergeCell ref="F355:F357"/>
    <mergeCell ref="G355:G357"/>
    <mergeCell ref="H355:H357"/>
    <mergeCell ref="I355:I357"/>
    <mergeCell ref="J355:J357"/>
    <mergeCell ref="K355:K357"/>
    <mergeCell ref="L355:L357"/>
    <mergeCell ref="M355:M357"/>
    <mergeCell ref="Q355:Q357"/>
    <mergeCell ref="R355:R357"/>
    <mergeCell ref="S355:S357"/>
    <mergeCell ref="T355:T357"/>
    <mergeCell ref="A238:A240"/>
    <mergeCell ref="B238:B240"/>
    <mergeCell ref="H229:H231"/>
    <mergeCell ref="I229:I231"/>
    <mergeCell ref="J229:J231"/>
    <mergeCell ref="K229:K231"/>
    <mergeCell ref="L229:L231"/>
    <mergeCell ref="H244:H246"/>
    <mergeCell ref="I244:I246"/>
    <mergeCell ref="J244:J246"/>
    <mergeCell ref="K244:K246"/>
    <mergeCell ref="L244:L246"/>
    <mergeCell ref="M244:M246"/>
    <mergeCell ref="Q244:Q246"/>
    <mergeCell ref="R244:R246"/>
    <mergeCell ref="S244:S246"/>
    <mergeCell ref="T244:T246"/>
    <mergeCell ref="B106:B108"/>
    <mergeCell ref="C106:C108"/>
    <mergeCell ref="F106:F108"/>
    <mergeCell ref="G106:G108"/>
    <mergeCell ref="H106:H108"/>
    <mergeCell ref="I106:I108"/>
    <mergeCell ref="J106:J108"/>
    <mergeCell ref="K106:K108"/>
    <mergeCell ref="L106:L108"/>
    <mergeCell ref="M106:M108"/>
    <mergeCell ref="Q106:Q108"/>
    <mergeCell ref="R106:R108"/>
    <mergeCell ref="S106:S108"/>
    <mergeCell ref="T106:T108"/>
    <mergeCell ref="C241:C243"/>
    <mergeCell ref="F241:F243"/>
    <mergeCell ref="G241:G243"/>
    <mergeCell ref="A130:A132"/>
    <mergeCell ref="R148:R150"/>
    <mergeCell ref="S148:S150"/>
    <mergeCell ref="T148:T150"/>
    <mergeCell ref="A241:A243"/>
    <mergeCell ref="B241:B243"/>
    <mergeCell ref="A247:A249"/>
    <mergeCell ref="B247:B249"/>
    <mergeCell ref="C247:C249"/>
    <mergeCell ref="F247:F249"/>
    <mergeCell ref="G247:G249"/>
    <mergeCell ref="H247:H249"/>
    <mergeCell ref="I247:I249"/>
    <mergeCell ref="J247:J249"/>
    <mergeCell ref="K247:K249"/>
    <mergeCell ref="L247:L249"/>
    <mergeCell ref="M247:M249"/>
    <mergeCell ref="Q247:Q249"/>
    <mergeCell ref="R247:R249"/>
    <mergeCell ref="S247:S249"/>
    <mergeCell ref="T247:T249"/>
    <mergeCell ref="A184:A186"/>
    <mergeCell ref="B184:B186"/>
    <mergeCell ref="C184:C186"/>
    <mergeCell ref="F184:F186"/>
    <mergeCell ref="G184:G186"/>
    <mergeCell ref="H184:H186"/>
    <mergeCell ref="I184:I186"/>
    <mergeCell ref="J184:J186"/>
    <mergeCell ref="K184:K186"/>
    <mergeCell ref="A244:A246"/>
    <mergeCell ref="B244:B246"/>
    <mergeCell ref="C244:C246"/>
    <mergeCell ref="F244:F246"/>
    <mergeCell ref="G244:G246"/>
    <mergeCell ref="A187:A189"/>
    <mergeCell ref="B187:B189"/>
    <mergeCell ref="C187:C189"/>
    <mergeCell ref="F187:F189"/>
    <mergeCell ref="G187:G189"/>
    <mergeCell ref="H187:H189"/>
    <mergeCell ref="I187:I189"/>
    <mergeCell ref="J187:J189"/>
    <mergeCell ref="K187:K189"/>
    <mergeCell ref="L187:L189"/>
    <mergeCell ref="M187:M189"/>
    <mergeCell ref="Q187:Q189"/>
    <mergeCell ref="R187:R189"/>
    <mergeCell ref="S187:S189"/>
    <mergeCell ref="K190:K192"/>
    <mergeCell ref="L190:L192"/>
    <mergeCell ref="M190:M192"/>
    <mergeCell ref="Q190:Q192"/>
    <mergeCell ref="R190:R192"/>
    <mergeCell ref="S190:S192"/>
    <mergeCell ref="F199:F201"/>
    <mergeCell ref="G199:G201"/>
    <mergeCell ref="H199:H201"/>
    <mergeCell ref="I199:I201"/>
    <mergeCell ref="J199:J201"/>
    <mergeCell ref="K199:K201"/>
    <mergeCell ref="L199:L201"/>
    <mergeCell ref="M199:M201"/>
    <mergeCell ref="Q199:Q201"/>
    <mergeCell ref="L130:L132"/>
    <mergeCell ref="M130:M132"/>
    <mergeCell ref="Q130:Q132"/>
    <mergeCell ref="R130:R132"/>
    <mergeCell ref="S130:S132"/>
    <mergeCell ref="T130:T132"/>
    <mergeCell ref="A145:A147"/>
    <mergeCell ref="B145:B147"/>
    <mergeCell ref="C145:C147"/>
    <mergeCell ref="F145:F147"/>
    <mergeCell ref="G145:G147"/>
    <mergeCell ref="H145:H147"/>
    <mergeCell ref="I145:I147"/>
    <mergeCell ref="J145:J147"/>
    <mergeCell ref="K145:K147"/>
    <mergeCell ref="A250:A252"/>
    <mergeCell ref="B250:B252"/>
    <mergeCell ref="C250:C252"/>
    <mergeCell ref="F250:F252"/>
    <mergeCell ref="G250:G252"/>
    <mergeCell ref="H250:H252"/>
    <mergeCell ref="I250:I252"/>
    <mergeCell ref="J250:J252"/>
    <mergeCell ref="K250:K252"/>
    <mergeCell ref="L250:L252"/>
    <mergeCell ref="M250:M252"/>
    <mergeCell ref="Q250:Q252"/>
    <mergeCell ref="R250:R252"/>
    <mergeCell ref="S250:S252"/>
    <mergeCell ref="T250:T252"/>
    <mergeCell ref="A139:A141"/>
    <mergeCell ref="B139:B141"/>
    <mergeCell ref="A253:A255"/>
    <mergeCell ref="B253:B255"/>
    <mergeCell ref="C253:C255"/>
    <mergeCell ref="F253:F255"/>
    <mergeCell ref="G253:G255"/>
    <mergeCell ref="H253:H255"/>
    <mergeCell ref="I253:I255"/>
    <mergeCell ref="J253:J255"/>
    <mergeCell ref="K253:K255"/>
    <mergeCell ref="L253:L255"/>
    <mergeCell ref="M253:M255"/>
    <mergeCell ref="Q253:Q255"/>
    <mergeCell ref="R253:R255"/>
    <mergeCell ref="S253:S255"/>
    <mergeCell ref="T253:T255"/>
    <mergeCell ref="A151:A153"/>
    <mergeCell ref="B151:B153"/>
    <mergeCell ref="C151:C153"/>
    <mergeCell ref="F151:F153"/>
    <mergeCell ref="G151:G153"/>
    <mergeCell ref="H151:H153"/>
    <mergeCell ref="I151:I153"/>
    <mergeCell ref="J151:J153"/>
    <mergeCell ref="K151:K153"/>
    <mergeCell ref="L151:L153"/>
    <mergeCell ref="M151:M153"/>
    <mergeCell ref="Q151:Q153"/>
    <mergeCell ref="R151:R153"/>
    <mergeCell ref="S151:S153"/>
    <mergeCell ref="T151:T153"/>
    <mergeCell ref="I190:I192"/>
    <mergeCell ref="J190:J192"/>
    <mergeCell ref="C139:C141"/>
    <mergeCell ref="F139:F141"/>
    <mergeCell ref="G139:G141"/>
    <mergeCell ref="H139:H141"/>
    <mergeCell ref="I139:I141"/>
    <mergeCell ref="J139:J141"/>
    <mergeCell ref="K139:K141"/>
    <mergeCell ref="L139:L141"/>
    <mergeCell ref="M139:M141"/>
    <mergeCell ref="Q139:Q141"/>
    <mergeCell ref="R139:R141"/>
    <mergeCell ref="S139:S141"/>
    <mergeCell ref="T139:T141"/>
    <mergeCell ref="A118:A120"/>
    <mergeCell ref="B118:B120"/>
    <mergeCell ref="C118:C120"/>
    <mergeCell ref="F118:F120"/>
    <mergeCell ref="G118:G120"/>
    <mergeCell ref="H118:H120"/>
    <mergeCell ref="I118:I120"/>
    <mergeCell ref="J118:J120"/>
    <mergeCell ref="K118:K120"/>
    <mergeCell ref="L118:L120"/>
    <mergeCell ref="M118:M120"/>
    <mergeCell ref="Q118:Q120"/>
    <mergeCell ref="R118:R120"/>
    <mergeCell ref="S118:S120"/>
    <mergeCell ref="T118:T120"/>
    <mergeCell ref="A121:A123"/>
    <mergeCell ref="B121:B123"/>
    <mergeCell ref="C121:C123"/>
    <mergeCell ref="F121:F123"/>
    <mergeCell ref="G121:G123"/>
    <mergeCell ref="H121:H123"/>
    <mergeCell ref="I121:I123"/>
    <mergeCell ref="J121:J123"/>
    <mergeCell ref="K121:K123"/>
    <mergeCell ref="L121:L123"/>
    <mergeCell ref="M121:M123"/>
    <mergeCell ref="Q121:Q123"/>
    <mergeCell ref="R121:R123"/>
    <mergeCell ref="S121:S123"/>
    <mergeCell ref="T121:T123"/>
    <mergeCell ref="A256:A258"/>
    <mergeCell ref="B256:B258"/>
    <mergeCell ref="C256:C258"/>
    <mergeCell ref="F256:F258"/>
    <mergeCell ref="G256:G258"/>
    <mergeCell ref="H256:H258"/>
    <mergeCell ref="I256:I258"/>
    <mergeCell ref="J256:J258"/>
    <mergeCell ref="K256:K258"/>
    <mergeCell ref="L256:L258"/>
    <mergeCell ref="M256:M258"/>
    <mergeCell ref="Q256:Q258"/>
    <mergeCell ref="R256:R258"/>
    <mergeCell ref="S256:S258"/>
    <mergeCell ref="T256:T258"/>
    <mergeCell ref="A190:A192"/>
    <mergeCell ref="B190:B192"/>
    <mergeCell ref="C190:C192"/>
    <mergeCell ref="F190:F192"/>
    <mergeCell ref="G190:G192"/>
    <mergeCell ref="H190:H192"/>
    <mergeCell ref="A259:A261"/>
    <mergeCell ref="B259:B261"/>
    <mergeCell ref="C259:C261"/>
    <mergeCell ref="F259:F261"/>
    <mergeCell ref="G259:G261"/>
    <mergeCell ref="H259:H261"/>
    <mergeCell ref="I259:I261"/>
    <mergeCell ref="J259:J261"/>
    <mergeCell ref="K259:K261"/>
    <mergeCell ref="L259:L261"/>
    <mergeCell ref="M259:M261"/>
    <mergeCell ref="Q259:Q261"/>
    <mergeCell ref="R259:R261"/>
    <mergeCell ref="S259:S261"/>
    <mergeCell ref="T259:T261"/>
    <mergeCell ref="A262:A264"/>
    <mergeCell ref="B262:B264"/>
    <mergeCell ref="C262:C264"/>
    <mergeCell ref="F262:F264"/>
    <mergeCell ref="G262:G264"/>
    <mergeCell ref="H262:H264"/>
    <mergeCell ref="I262:I264"/>
    <mergeCell ref="J262:J264"/>
    <mergeCell ref="K262:K264"/>
    <mergeCell ref="L262:L264"/>
    <mergeCell ref="M262:M264"/>
    <mergeCell ref="Q262:Q264"/>
    <mergeCell ref="R262:R264"/>
    <mergeCell ref="S262:S264"/>
    <mergeCell ref="T262:T264"/>
    <mergeCell ref="C265:C267"/>
    <mergeCell ref="F265:F267"/>
    <mergeCell ref="G265:G267"/>
    <mergeCell ref="H265:H267"/>
    <mergeCell ref="I265:I267"/>
    <mergeCell ref="J265:J267"/>
    <mergeCell ref="K265:K267"/>
    <mergeCell ref="L265:L267"/>
    <mergeCell ref="M265:M267"/>
    <mergeCell ref="Q265:Q267"/>
    <mergeCell ref="R265:R267"/>
    <mergeCell ref="S265:S267"/>
    <mergeCell ref="T265:T267"/>
    <mergeCell ref="A274:A276"/>
    <mergeCell ref="B274:B276"/>
    <mergeCell ref="C274:C276"/>
    <mergeCell ref="F274:F276"/>
    <mergeCell ref="G274:G276"/>
    <mergeCell ref="H274:H276"/>
    <mergeCell ref="I274:I276"/>
    <mergeCell ref="J274:J276"/>
    <mergeCell ref="K274:K276"/>
    <mergeCell ref="L274:L276"/>
    <mergeCell ref="M274:M276"/>
    <mergeCell ref="Q274:Q276"/>
    <mergeCell ref="R274:R276"/>
    <mergeCell ref="S274:S276"/>
    <mergeCell ref="T274:T276"/>
    <mergeCell ref="A268:A270"/>
    <mergeCell ref="B268:B270"/>
    <mergeCell ref="C268:C270"/>
    <mergeCell ref="F268:F270"/>
    <mergeCell ref="A277:A279"/>
    <mergeCell ref="B277:B279"/>
    <mergeCell ref="C277:C279"/>
    <mergeCell ref="F277:F279"/>
    <mergeCell ref="G277:G279"/>
    <mergeCell ref="H277:H279"/>
    <mergeCell ref="I277:I279"/>
    <mergeCell ref="J277:J279"/>
    <mergeCell ref="K277:K279"/>
    <mergeCell ref="L277:L279"/>
    <mergeCell ref="M277:M279"/>
    <mergeCell ref="Q277:Q279"/>
    <mergeCell ref="R277:R279"/>
    <mergeCell ref="S277:S279"/>
    <mergeCell ref="T277:T279"/>
    <mergeCell ref="A295:A297"/>
    <mergeCell ref="B295:B297"/>
    <mergeCell ref="C295:C297"/>
    <mergeCell ref="F295:F297"/>
    <mergeCell ref="G295:G297"/>
    <mergeCell ref="H295:H297"/>
    <mergeCell ref="I295:I297"/>
    <mergeCell ref="J295:J297"/>
    <mergeCell ref="K295:K297"/>
    <mergeCell ref="L295:L297"/>
    <mergeCell ref="M295:M297"/>
    <mergeCell ref="Q295:Q297"/>
    <mergeCell ref="R295:R297"/>
    <mergeCell ref="S295:S297"/>
    <mergeCell ref="T295:T297"/>
    <mergeCell ref="B292:B294"/>
    <mergeCell ref="C292:C294"/>
    <mergeCell ref="C301:C303"/>
    <mergeCell ref="F301:F303"/>
    <mergeCell ref="G301:G303"/>
    <mergeCell ref="H301:H303"/>
    <mergeCell ref="I301:I303"/>
    <mergeCell ref="J301:J303"/>
    <mergeCell ref="K301:K303"/>
    <mergeCell ref="L301:L303"/>
    <mergeCell ref="M301:M303"/>
    <mergeCell ref="Q301:Q303"/>
    <mergeCell ref="R301:R303"/>
    <mergeCell ref="S301:S303"/>
    <mergeCell ref="T301:T303"/>
    <mergeCell ref="A298:A300"/>
    <mergeCell ref="B298:B300"/>
    <mergeCell ref="C298:C300"/>
    <mergeCell ref="F298:F300"/>
    <mergeCell ref="G298:G300"/>
    <mergeCell ref="H298:H300"/>
    <mergeCell ref="I298:I300"/>
    <mergeCell ref="J298:J300"/>
    <mergeCell ref="K298:K300"/>
    <mergeCell ref="L298:L300"/>
    <mergeCell ref="M298:M300"/>
    <mergeCell ref="Q298:Q300"/>
    <mergeCell ref="R298:R300"/>
    <mergeCell ref="S298:S300"/>
    <mergeCell ref="T298:T300"/>
    <mergeCell ref="D301:D303"/>
    <mergeCell ref="E301:E303"/>
    <mergeCell ref="A304:A306"/>
    <mergeCell ref="B304:B306"/>
    <mergeCell ref="C304:C306"/>
    <mergeCell ref="F304:F306"/>
    <mergeCell ref="G304:G306"/>
    <mergeCell ref="H304:H306"/>
    <mergeCell ref="I304:I306"/>
    <mergeCell ref="J304:J306"/>
    <mergeCell ref="K304:K306"/>
    <mergeCell ref="L304:L306"/>
    <mergeCell ref="M304:M306"/>
    <mergeCell ref="Q304:Q306"/>
    <mergeCell ref="R304:R306"/>
    <mergeCell ref="S304:S306"/>
    <mergeCell ref="T304:T306"/>
    <mergeCell ref="F43:F45"/>
    <mergeCell ref="G43:G45"/>
    <mergeCell ref="H43:H45"/>
    <mergeCell ref="I43:I45"/>
    <mergeCell ref="J43:J45"/>
    <mergeCell ref="K43:K45"/>
    <mergeCell ref="L43:L45"/>
    <mergeCell ref="M43:M45"/>
    <mergeCell ref="Q43:Q45"/>
    <mergeCell ref="R43:R45"/>
    <mergeCell ref="S43:S45"/>
    <mergeCell ref="T43:T45"/>
    <mergeCell ref="A46:A48"/>
    <mergeCell ref="B46:B48"/>
    <mergeCell ref="C46:C48"/>
    <mergeCell ref="F46:F48"/>
    <mergeCell ref="G46:G48"/>
    <mergeCell ref="T49:T51"/>
    <mergeCell ref="A43:A45"/>
    <mergeCell ref="B43:B45"/>
    <mergeCell ref="C43:C45"/>
    <mergeCell ref="H46:H48"/>
    <mergeCell ref="I46:I48"/>
    <mergeCell ref="J46:J48"/>
    <mergeCell ref="K46:K48"/>
    <mergeCell ref="L46:L48"/>
    <mergeCell ref="M46:M48"/>
    <mergeCell ref="Q46:Q48"/>
    <mergeCell ref="R46:R48"/>
    <mergeCell ref="S46:S48"/>
    <mergeCell ref="T46:T48"/>
    <mergeCell ref="F7:F9"/>
    <mergeCell ref="G7:G9"/>
    <mergeCell ref="H7:H9"/>
    <mergeCell ref="I7:I9"/>
    <mergeCell ref="J7:J9"/>
    <mergeCell ref="K7:K9"/>
    <mergeCell ref="L7:L9"/>
    <mergeCell ref="M7:M9"/>
    <mergeCell ref="Q7:Q9"/>
    <mergeCell ref="R7:R9"/>
    <mergeCell ref="S7:S9"/>
    <mergeCell ref="T7:T9"/>
    <mergeCell ref="G34:G36"/>
    <mergeCell ref="H34:H36"/>
    <mergeCell ref="I34:I36"/>
    <mergeCell ref="J34:J36"/>
    <mergeCell ref="K34:K36"/>
    <mergeCell ref="L34:L36"/>
    <mergeCell ref="A7:A9"/>
    <mergeCell ref="B7:B9"/>
    <mergeCell ref="C7:C9"/>
    <mergeCell ref="A49:A51"/>
    <mergeCell ref="B49:B51"/>
    <mergeCell ref="C49:C51"/>
    <mergeCell ref="F49:F51"/>
    <mergeCell ref="G49:G51"/>
    <mergeCell ref="H49:H51"/>
    <mergeCell ref="I49:I51"/>
    <mergeCell ref="J49:J51"/>
    <mergeCell ref="K49:K51"/>
    <mergeCell ref="L49:L51"/>
    <mergeCell ref="M49:M51"/>
    <mergeCell ref="Q49:Q51"/>
    <mergeCell ref="R49:R51"/>
    <mergeCell ref="S49:S51"/>
    <mergeCell ref="M34:M36"/>
    <mergeCell ref="Q34:Q36"/>
    <mergeCell ref="R34:R36"/>
    <mergeCell ref="S34:S36"/>
    <mergeCell ref="A40:A42"/>
    <mergeCell ref="B40:B42"/>
    <mergeCell ref="I40:I42"/>
    <mergeCell ref="E37:E39"/>
    <mergeCell ref="D40:D42"/>
    <mergeCell ref="E40:E42"/>
    <mergeCell ref="D43:D45"/>
    <mergeCell ref="E43:E45"/>
    <mergeCell ref="D46:D48"/>
    <mergeCell ref="E46:E48"/>
    <mergeCell ref="D49:D51"/>
    <mergeCell ref="G13:G15"/>
    <mergeCell ref="H13:H15"/>
    <mergeCell ref="I13:I15"/>
    <mergeCell ref="J13:J15"/>
    <mergeCell ref="K13:K15"/>
    <mergeCell ref="L13:L15"/>
    <mergeCell ref="M13:M15"/>
    <mergeCell ref="Q13:Q15"/>
    <mergeCell ref="R13:R15"/>
    <mergeCell ref="S13:S15"/>
    <mergeCell ref="T13:T15"/>
    <mergeCell ref="F4:F6"/>
    <mergeCell ref="G4:G6"/>
    <mergeCell ref="H4:H6"/>
    <mergeCell ref="I4:I6"/>
    <mergeCell ref="J4:J6"/>
    <mergeCell ref="K4:K6"/>
    <mergeCell ref="L4:L6"/>
    <mergeCell ref="M4:M6"/>
    <mergeCell ref="Q4:Q6"/>
    <mergeCell ref="R4:R6"/>
    <mergeCell ref="S4:S6"/>
    <mergeCell ref="T4:T6"/>
    <mergeCell ref="C19:C21"/>
    <mergeCell ref="F19:F21"/>
    <mergeCell ref="G19:G21"/>
    <mergeCell ref="H19:H21"/>
    <mergeCell ref="I19:I21"/>
    <mergeCell ref="J19:J21"/>
    <mergeCell ref="K19:K21"/>
    <mergeCell ref="L19:L21"/>
    <mergeCell ref="M19:M21"/>
    <mergeCell ref="Q19:Q21"/>
    <mergeCell ref="R19:R21"/>
    <mergeCell ref="S19:S21"/>
    <mergeCell ref="T19:T21"/>
    <mergeCell ref="A10:A12"/>
    <mergeCell ref="B10:B12"/>
    <mergeCell ref="C10:C12"/>
    <mergeCell ref="F10:F12"/>
    <mergeCell ref="G10:G12"/>
    <mergeCell ref="H10:H12"/>
    <mergeCell ref="I10:I12"/>
    <mergeCell ref="J10:J12"/>
    <mergeCell ref="K10:K12"/>
    <mergeCell ref="L10:L12"/>
    <mergeCell ref="M10:M12"/>
    <mergeCell ref="Q10:Q12"/>
    <mergeCell ref="R10:R12"/>
    <mergeCell ref="S10:S12"/>
    <mergeCell ref="T10:T12"/>
    <mergeCell ref="A13:A15"/>
    <mergeCell ref="B13:B15"/>
    <mergeCell ref="C13:C15"/>
    <mergeCell ref="F13:F15"/>
    <mergeCell ref="A25:A27"/>
    <mergeCell ref="B25:B27"/>
    <mergeCell ref="C25:C27"/>
    <mergeCell ref="F25:F27"/>
    <mergeCell ref="G25:G27"/>
    <mergeCell ref="H25:H27"/>
    <mergeCell ref="I25:I27"/>
    <mergeCell ref="J25:J27"/>
    <mergeCell ref="K25:K27"/>
    <mergeCell ref="L25:L27"/>
    <mergeCell ref="M25:M27"/>
    <mergeCell ref="Q25:Q27"/>
    <mergeCell ref="R25:R27"/>
    <mergeCell ref="S25:S27"/>
    <mergeCell ref="T25:T27"/>
    <mergeCell ref="A16:A18"/>
    <mergeCell ref="B16:B18"/>
    <mergeCell ref="C16:C18"/>
    <mergeCell ref="F16:F18"/>
    <mergeCell ref="G16:G18"/>
    <mergeCell ref="H16:H18"/>
    <mergeCell ref="I16:I18"/>
    <mergeCell ref="J16:J18"/>
    <mergeCell ref="K16:K18"/>
    <mergeCell ref="L16:L18"/>
    <mergeCell ref="M16:M18"/>
    <mergeCell ref="Q16:Q18"/>
    <mergeCell ref="R16:R18"/>
    <mergeCell ref="S16:S18"/>
    <mergeCell ref="T16:T18"/>
    <mergeCell ref="A19:A21"/>
    <mergeCell ref="B19:B21"/>
    <mergeCell ref="A31:A33"/>
    <mergeCell ref="B31:B33"/>
    <mergeCell ref="C31:C33"/>
    <mergeCell ref="F31:F33"/>
    <mergeCell ref="G31:G33"/>
    <mergeCell ref="H31:H33"/>
    <mergeCell ref="I31:I33"/>
    <mergeCell ref="J31:J33"/>
    <mergeCell ref="K31:K33"/>
    <mergeCell ref="L31:L33"/>
    <mergeCell ref="M31:M33"/>
    <mergeCell ref="Q31:Q33"/>
    <mergeCell ref="R31:R33"/>
    <mergeCell ref="S31:S33"/>
    <mergeCell ref="T31:T33"/>
    <mergeCell ref="A22:A24"/>
    <mergeCell ref="B22:B24"/>
    <mergeCell ref="C22:C24"/>
    <mergeCell ref="F22:F24"/>
    <mergeCell ref="G22:G24"/>
    <mergeCell ref="H22:H24"/>
    <mergeCell ref="I22:I24"/>
    <mergeCell ref="J22:J24"/>
    <mergeCell ref="K22:K24"/>
    <mergeCell ref="L22:L24"/>
    <mergeCell ref="M22:M24"/>
    <mergeCell ref="Q22:Q24"/>
    <mergeCell ref="R22:R24"/>
    <mergeCell ref="S22:S24"/>
    <mergeCell ref="T22:T24"/>
    <mergeCell ref="A28:A30"/>
    <mergeCell ref="B28:B30"/>
    <mergeCell ref="C28:C30"/>
    <mergeCell ref="F28:F30"/>
    <mergeCell ref="G28:G30"/>
    <mergeCell ref="H28:H30"/>
    <mergeCell ref="I28:I30"/>
    <mergeCell ref="J28:J30"/>
    <mergeCell ref="K28:K30"/>
    <mergeCell ref="L28:L30"/>
    <mergeCell ref="M28:M30"/>
    <mergeCell ref="Q28:Q30"/>
    <mergeCell ref="R28:R30"/>
    <mergeCell ref="S28:S30"/>
    <mergeCell ref="T28:T30"/>
    <mergeCell ref="A193:A195"/>
    <mergeCell ref="B193:B195"/>
    <mergeCell ref="C193:C195"/>
    <mergeCell ref="F193:F195"/>
    <mergeCell ref="G193:G195"/>
    <mergeCell ref="H193:H195"/>
    <mergeCell ref="I193:I195"/>
    <mergeCell ref="J193:J195"/>
    <mergeCell ref="K193:K195"/>
    <mergeCell ref="L193:L195"/>
    <mergeCell ref="M193:M195"/>
    <mergeCell ref="Q193:Q195"/>
    <mergeCell ref="R193:R195"/>
    <mergeCell ref="S193:S195"/>
    <mergeCell ref="T193:T195"/>
    <mergeCell ref="A34:A36"/>
    <mergeCell ref="B34:B36"/>
    <mergeCell ref="C34:C36"/>
    <mergeCell ref="F34:F36"/>
    <mergeCell ref="T34:T36"/>
    <mergeCell ref="A67:A69"/>
    <mergeCell ref="B67:B69"/>
    <mergeCell ref="C67:C69"/>
    <mergeCell ref="F67:F69"/>
    <mergeCell ref="G67:G69"/>
    <mergeCell ref="H67:H69"/>
    <mergeCell ref="I67:I69"/>
    <mergeCell ref="J67:J69"/>
    <mergeCell ref="K67:K69"/>
    <mergeCell ref="L67:L69"/>
    <mergeCell ref="M67:M69"/>
    <mergeCell ref="Q67:Q69"/>
    <mergeCell ref="R67:R69"/>
    <mergeCell ref="S67:S69"/>
    <mergeCell ref="T67:T69"/>
    <mergeCell ref="A346:A348"/>
    <mergeCell ref="B346:B348"/>
    <mergeCell ref="C346:C348"/>
    <mergeCell ref="F346:F348"/>
    <mergeCell ref="G346:G348"/>
    <mergeCell ref="H346:H348"/>
    <mergeCell ref="I346:I348"/>
    <mergeCell ref="J346:J348"/>
    <mergeCell ref="K346:K348"/>
    <mergeCell ref="L346:L348"/>
    <mergeCell ref="M346:M348"/>
    <mergeCell ref="Q346:Q348"/>
    <mergeCell ref="R346:R348"/>
    <mergeCell ref="S346:S348"/>
    <mergeCell ref="T346:T348"/>
    <mergeCell ref="A292:A294"/>
    <mergeCell ref="A349:A351"/>
    <mergeCell ref="B349:B351"/>
    <mergeCell ref="C349:C351"/>
    <mergeCell ref="F349:F351"/>
    <mergeCell ref="G349:G351"/>
    <mergeCell ref="H349:H351"/>
    <mergeCell ref="I349:I351"/>
    <mergeCell ref="J349:J351"/>
    <mergeCell ref="K349:K351"/>
    <mergeCell ref="L349:L351"/>
    <mergeCell ref="M349:M351"/>
    <mergeCell ref="Q349:Q351"/>
    <mergeCell ref="R349:R351"/>
    <mergeCell ref="S349:S351"/>
    <mergeCell ref="T349:T351"/>
    <mergeCell ref="A352:A354"/>
    <mergeCell ref="B352:B354"/>
    <mergeCell ref="C352:C354"/>
    <mergeCell ref="F352:F354"/>
    <mergeCell ref="G352:G354"/>
    <mergeCell ref="H352:H354"/>
    <mergeCell ref="I352:I354"/>
    <mergeCell ref="J352:J354"/>
    <mergeCell ref="K352:K354"/>
    <mergeCell ref="L352:L354"/>
    <mergeCell ref="M352:M354"/>
    <mergeCell ref="Q352:Q354"/>
    <mergeCell ref="R352:R354"/>
    <mergeCell ref="S352:S354"/>
    <mergeCell ref="T352:T354"/>
    <mergeCell ref="A142:A144"/>
    <mergeCell ref="B142:B144"/>
    <mergeCell ref="C142:C144"/>
    <mergeCell ref="F142:F144"/>
    <mergeCell ref="G142:G144"/>
    <mergeCell ref="H142:H144"/>
    <mergeCell ref="I142:I144"/>
    <mergeCell ref="J142:J144"/>
    <mergeCell ref="K142:K144"/>
    <mergeCell ref="L142:L144"/>
    <mergeCell ref="M142:M144"/>
    <mergeCell ref="Q142:Q144"/>
    <mergeCell ref="R142:R144"/>
    <mergeCell ref="S142:S144"/>
    <mergeCell ref="T142:T144"/>
    <mergeCell ref="S196:S198"/>
    <mergeCell ref="T196:T198"/>
    <mergeCell ref="D145:D147"/>
    <mergeCell ref="E145:E147"/>
    <mergeCell ref="D148:D150"/>
    <mergeCell ref="E148:E150"/>
    <mergeCell ref="L181:L183"/>
    <mergeCell ref="M181:M183"/>
    <mergeCell ref="Q181:Q183"/>
    <mergeCell ref="R181:R183"/>
    <mergeCell ref="S181:S183"/>
    <mergeCell ref="S178:S180"/>
    <mergeCell ref="A178:A180"/>
    <mergeCell ref="B178:B180"/>
    <mergeCell ref="C178:C180"/>
    <mergeCell ref="F178:F180"/>
    <mergeCell ref="H178:H180"/>
    <mergeCell ref="R331:R333"/>
    <mergeCell ref="S331:S333"/>
    <mergeCell ref="T331:T333"/>
    <mergeCell ref="J334:J336"/>
    <mergeCell ref="K334:K336"/>
    <mergeCell ref="L334:L336"/>
    <mergeCell ref="M334:M336"/>
    <mergeCell ref="Q334:Q336"/>
    <mergeCell ref="R334:R336"/>
    <mergeCell ref="S334:S336"/>
    <mergeCell ref="T334:T336"/>
    <mergeCell ref="F292:F294"/>
    <mergeCell ref="G292:G294"/>
    <mergeCell ref="H292:H294"/>
    <mergeCell ref="I292:I294"/>
    <mergeCell ref="J292:J294"/>
    <mergeCell ref="K292:K294"/>
    <mergeCell ref="L292:L294"/>
    <mergeCell ref="M292:M294"/>
    <mergeCell ref="Q292:Q294"/>
    <mergeCell ref="R292:R294"/>
    <mergeCell ref="S292:S294"/>
    <mergeCell ref="T292:T294"/>
    <mergeCell ref="I328:I330"/>
    <mergeCell ref="J328:J330"/>
    <mergeCell ref="K328:K330"/>
    <mergeCell ref="L328:L330"/>
    <mergeCell ref="M328:M330"/>
    <mergeCell ref="Q328:Q330"/>
    <mergeCell ref="R328:R330"/>
    <mergeCell ref="S328:S330"/>
    <mergeCell ref="T328:T330"/>
    <mergeCell ref="A196:A198"/>
    <mergeCell ref="B196:B198"/>
    <mergeCell ref="C196:C198"/>
    <mergeCell ref="F196:F198"/>
    <mergeCell ref="G196:G198"/>
    <mergeCell ref="H196:H198"/>
    <mergeCell ref="I196:I198"/>
    <mergeCell ref="J196:J198"/>
    <mergeCell ref="K196:K198"/>
    <mergeCell ref="L196:L198"/>
    <mergeCell ref="M196:M198"/>
    <mergeCell ref="Q196:Q198"/>
    <mergeCell ref="R196:R198"/>
    <mergeCell ref="I214:I216"/>
    <mergeCell ref="J214:J216"/>
    <mergeCell ref="K214:K216"/>
    <mergeCell ref="L214:L216"/>
    <mergeCell ref="M214:M216"/>
    <mergeCell ref="Q214:Q216"/>
    <mergeCell ref="R214:R216"/>
    <mergeCell ref="A214:A216"/>
    <mergeCell ref="B214:B216"/>
    <mergeCell ref="M211:M213"/>
    <mergeCell ref="Q211:Q213"/>
    <mergeCell ref="R211:R213"/>
    <mergeCell ref="A199:A201"/>
    <mergeCell ref="B199:B201"/>
    <mergeCell ref="C199:C201"/>
    <mergeCell ref="A202:A204"/>
    <mergeCell ref="B202:B204"/>
    <mergeCell ref="A337:A339"/>
    <mergeCell ref="B337:B339"/>
    <mergeCell ref="C337:C339"/>
    <mergeCell ref="F337:F339"/>
    <mergeCell ref="G337:G339"/>
    <mergeCell ref="H337:H339"/>
    <mergeCell ref="I337:I339"/>
    <mergeCell ref="J337:J339"/>
    <mergeCell ref="K337:K339"/>
    <mergeCell ref="L337:L339"/>
    <mergeCell ref="M337:M339"/>
    <mergeCell ref="Q337:Q339"/>
    <mergeCell ref="R337:R339"/>
    <mergeCell ref="S337:S339"/>
    <mergeCell ref="T337:T339"/>
    <mergeCell ref="A205:A207"/>
    <mergeCell ref="B205:B207"/>
    <mergeCell ref="C205:C207"/>
    <mergeCell ref="F205:F207"/>
    <mergeCell ref="G205:G207"/>
    <mergeCell ref="D331:D333"/>
    <mergeCell ref="E331:E333"/>
    <mergeCell ref="D334:D336"/>
    <mergeCell ref="E334:E336"/>
    <mergeCell ref="G331:G333"/>
    <mergeCell ref="H331:H333"/>
    <mergeCell ref="I331:I333"/>
    <mergeCell ref="J331:J333"/>
    <mergeCell ref="K331:K333"/>
    <mergeCell ref="L331:L333"/>
    <mergeCell ref="M331:M333"/>
    <mergeCell ref="Q331:Q333"/>
    <mergeCell ref="G268:G270"/>
    <mergeCell ref="H268:H270"/>
    <mergeCell ref="I268:I270"/>
    <mergeCell ref="J268:J270"/>
    <mergeCell ref="K268:K270"/>
    <mergeCell ref="L268:L270"/>
    <mergeCell ref="M268:M270"/>
    <mergeCell ref="Q268:Q270"/>
    <mergeCell ref="R268:R270"/>
    <mergeCell ref="S268:S270"/>
    <mergeCell ref="T268:T270"/>
    <mergeCell ref="F202:F204"/>
    <mergeCell ref="G202:G204"/>
    <mergeCell ref="H202:H204"/>
    <mergeCell ref="I202:I204"/>
    <mergeCell ref="J202:J204"/>
    <mergeCell ref="K202:K204"/>
    <mergeCell ref="L202:L204"/>
    <mergeCell ref="M202:M204"/>
    <mergeCell ref="Q202:Q204"/>
    <mergeCell ref="R202:R204"/>
    <mergeCell ref="S202:S204"/>
    <mergeCell ref="T202:T204"/>
    <mergeCell ref="S214:S216"/>
    <mergeCell ref="T214:T216"/>
    <mergeCell ref="S211:S213"/>
    <mergeCell ref="S205:S207"/>
    <mergeCell ref="T205:T207"/>
    <mergeCell ref="T238:T240"/>
    <mergeCell ref="Q238:Q240"/>
    <mergeCell ref="R238:R240"/>
    <mergeCell ref="S238:S240"/>
    <mergeCell ref="A265:A267"/>
    <mergeCell ref="B265:B267"/>
    <mergeCell ref="K61:K63"/>
    <mergeCell ref="L61:L63"/>
    <mergeCell ref="M61:M63"/>
    <mergeCell ref="Q61:Q63"/>
    <mergeCell ref="R61:R63"/>
    <mergeCell ref="S61:S63"/>
    <mergeCell ref="T61:T63"/>
    <mergeCell ref="A271:A273"/>
    <mergeCell ref="B271:B273"/>
    <mergeCell ref="C271:C273"/>
    <mergeCell ref="F271:F273"/>
    <mergeCell ref="G271:G273"/>
    <mergeCell ref="H271:H273"/>
    <mergeCell ref="I271:I273"/>
    <mergeCell ref="J271:J273"/>
    <mergeCell ref="K271:K273"/>
    <mergeCell ref="L271:L273"/>
    <mergeCell ref="M271:M273"/>
    <mergeCell ref="Q271:Q273"/>
    <mergeCell ref="R271:R273"/>
    <mergeCell ref="S271:S273"/>
    <mergeCell ref="T271:T273"/>
    <mergeCell ref="H205:H207"/>
    <mergeCell ref="I205:I207"/>
    <mergeCell ref="J205:J207"/>
    <mergeCell ref="K205:K207"/>
    <mergeCell ref="L205:L207"/>
    <mergeCell ref="M205:M207"/>
    <mergeCell ref="Q205:Q207"/>
    <mergeCell ref="R205:R207"/>
    <mergeCell ref="A340:A342"/>
    <mergeCell ref="B340:B342"/>
    <mergeCell ref="C340:C342"/>
    <mergeCell ref="F340:F342"/>
    <mergeCell ref="G340:G342"/>
    <mergeCell ref="H340:H342"/>
    <mergeCell ref="I340:I342"/>
    <mergeCell ref="J340:J342"/>
    <mergeCell ref="K340:K342"/>
    <mergeCell ref="L340:L342"/>
    <mergeCell ref="M340:M342"/>
    <mergeCell ref="Q340:Q342"/>
    <mergeCell ref="R340:R342"/>
    <mergeCell ref="S340:S342"/>
    <mergeCell ref="T340:T342"/>
    <mergeCell ref="J367:J369"/>
    <mergeCell ref="K58:K60"/>
    <mergeCell ref="L58:L60"/>
    <mergeCell ref="M58:M60"/>
    <mergeCell ref="Q58:Q60"/>
    <mergeCell ref="R58:R60"/>
    <mergeCell ref="S58:S60"/>
    <mergeCell ref="G367:G369"/>
    <mergeCell ref="T166:T168"/>
    <mergeCell ref="A61:A63"/>
    <mergeCell ref="B61:B63"/>
    <mergeCell ref="C61:C63"/>
    <mergeCell ref="F61:F63"/>
    <mergeCell ref="G61:G63"/>
    <mergeCell ref="H61:H63"/>
    <mergeCell ref="I61:I63"/>
    <mergeCell ref="J61:J63"/>
    <mergeCell ref="A55:A57"/>
    <mergeCell ref="B55:B57"/>
    <mergeCell ref="A166:A168"/>
    <mergeCell ref="B166:B168"/>
    <mergeCell ref="C166:C168"/>
    <mergeCell ref="F166:F168"/>
    <mergeCell ref="G166:G168"/>
    <mergeCell ref="H166:H168"/>
    <mergeCell ref="I166:I168"/>
    <mergeCell ref="J166:J168"/>
    <mergeCell ref="K166:K168"/>
    <mergeCell ref="L166:L168"/>
    <mergeCell ref="M166:M168"/>
    <mergeCell ref="Q166:Q168"/>
    <mergeCell ref="R166:R168"/>
    <mergeCell ref="S166:S168"/>
    <mergeCell ref="I52:I54"/>
    <mergeCell ref="A52:A54"/>
    <mergeCell ref="B52:B54"/>
    <mergeCell ref="C52:C54"/>
    <mergeCell ref="F52:F54"/>
    <mergeCell ref="H52:H54"/>
    <mergeCell ref="J52:J54"/>
    <mergeCell ref="G52:G54"/>
    <mergeCell ref="A58:A60"/>
    <mergeCell ref="B58:B60"/>
    <mergeCell ref="C58:C60"/>
    <mergeCell ref="F58:F60"/>
    <mergeCell ref="J58:J60"/>
    <mergeCell ref="K55:K57"/>
    <mergeCell ref="L55:L57"/>
    <mergeCell ref="M55:M57"/>
    <mergeCell ref="T52:T54"/>
    <mergeCell ref="K52:K54"/>
    <mergeCell ref="L52:L54"/>
    <mergeCell ref="M52:M54"/>
    <mergeCell ref="Q52:Q54"/>
    <mergeCell ref="R52:R54"/>
    <mergeCell ref="S52:S54"/>
    <mergeCell ref="T55:T57"/>
    <mergeCell ref="C55:C57"/>
    <mergeCell ref="F55:F57"/>
    <mergeCell ref="H55:H57"/>
    <mergeCell ref="I55:I57"/>
    <mergeCell ref="J55:J57"/>
    <mergeCell ref="G55:G57"/>
    <mergeCell ref="G58:G60"/>
    <mergeCell ref="T58:T60"/>
    <mergeCell ref="R55:R57"/>
    <mergeCell ref="S55:S57"/>
    <mergeCell ref="Q55:Q57"/>
  </mergeCells>
  <phoneticPr fontId="1" type="noConversion"/>
  <pageMargins left="0.70866141732283472" right="0.70866141732283472" top="0.74803149606299213" bottom="0.74803149606299213" header="0.31496062992125984" footer="0.31496062992125984"/>
  <pageSetup paperSize="9" scale="39" fitToHeight="0" orientation="landscape" r:id="rId1"/>
  <headerFooter>
    <oddFooter>&amp;C&amp;P/33</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2"/>
  <sheetViews>
    <sheetView topLeftCell="A66" workbookViewId="0">
      <selection activeCell="B79" sqref="A4:B81"/>
    </sheetView>
  </sheetViews>
  <sheetFormatPr defaultRowHeight="16.899999999999999"/>
  <cols>
    <col min="1" max="1" width="55.375" style="11" customWidth="1"/>
    <col min="2" max="2" width="55.375" style="26" customWidth="1"/>
  </cols>
  <sheetData>
    <row r="1" spans="1:2">
      <c r="A1" s="26"/>
    </row>
    <row r="2" spans="1:2" ht="16.5" customHeight="1">
      <c r="A2" s="188" t="s">
        <v>68</v>
      </c>
    </row>
    <row r="3" spans="1:2">
      <c r="A3" s="188"/>
    </row>
    <row r="4" spans="1:2" ht="16.5" customHeight="1">
      <c r="A4" s="189" t="s">
        <v>77</v>
      </c>
      <c r="B4" s="199" t="s">
        <v>78</v>
      </c>
    </row>
    <row r="5" spans="1:2">
      <c r="A5" s="190"/>
      <c r="B5" s="200"/>
    </row>
    <row r="6" spans="1:2">
      <c r="A6" s="190"/>
      <c r="B6" s="200"/>
    </row>
    <row r="7" spans="1:2" ht="16.5" customHeight="1">
      <c r="A7" s="189" t="s">
        <v>93</v>
      </c>
      <c r="B7" s="190" t="s">
        <v>17</v>
      </c>
    </row>
    <row r="8" spans="1:2">
      <c r="A8" s="190"/>
      <c r="B8" s="190"/>
    </row>
    <row r="9" spans="1:2">
      <c r="A9" s="190"/>
      <c r="B9" s="190"/>
    </row>
    <row r="10" spans="1:2" ht="16.5" customHeight="1">
      <c r="A10" s="190" t="s">
        <v>69</v>
      </c>
      <c r="B10" s="190" t="s">
        <v>19</v>
      </c>
    </row>
    <row r="11" spans="1:2">
      <c r="A11" s="190"/>
      <c r="B11" s="190"/>
    </row>
    <row r="12" spans="1:2">
      <c r="A12" s="190"/>
      <c r="B12" s="190"/>
    </row>
    <row r="13" spans="1:2" ht="16.5" customHeight="1">
      <c r="A13" s="190" t="s">
        <v>72</v>
      </c>
      <c r="B13" s="190" t="s">
        <v>20</v>
      </c>
    </row>
    <row r="14" spans="1:2">
      <c r="A14" s="190"/>
      <c r="B14" s="190"/>
    </row>
    <row r="15" spans="1:2">
      <c r="A15" s="190"/>
      <c r="B15" s="190"/>
    </row>
    <row r="16" spans="1:2" ht="16.5" customHeight="1">
      <c r="A16" s="191" t="s">
        <v>97</v>
      </c>
      <c r="B16" s="189" t="s">
        <v>169</v>
      </c>
    </row>
    <row r="17" spans="1:2">
      <c r="A17" s="192"/>
      <c r="B17" s="190"/>
    </row>
    <row r="18" spans="1:2">
      <c r="A18" s="193"/>
      <c r="B18" s="190"/>
    </row>
    <row r="19" spans="1:2" ht="16.5" customHeight="1">
      <c r="A19" s="189" t="s">
        <v>98</v>
      </c>
      <c r="B19" s="145" t="s">
        <v>170</v>
      </c>
    </row>
    <row r="20" spans="1:2">
      <c r="A20" s="190"/>
      <c r="B20" s="146"/>
    </row>
    <row r="21" spans="1:2">
      <c r="A21" s="190"/>
      <c r="B21" s="147"/>
    </row>
    <row r="22" spans="1:2" ht="16.5" customHeight="1">
      <c r="A22" s="189" t="s">
        <v>216</v>
      </c>
      <c r="B22" s="201" t="s">
        <v>171</v>
      </c>
    </row>
    <row r="23" spans="1:2">
      <c r="A23" s="190"/>
      <c r="B23" s="202"/>
    </row>
    <row r="24" spans="1:2">
      <c r="A24" s="190"/>
      <c r="B24" s="203"/>
    </row>
    <row r="25" spans="1:2" ht="16.5" customHeight="1">
      <c r="A25" s="189" t="s">
        <v>100</v>
      </c>
      <c r="B25" s="145" t="s">
        <v>172</v>
      </c>
    </row>
    <row r="26" spans="1:2">
      <c r="A26" s="190"/>
      <c r="B26" s="146"/>
    </row>
    <row r="27" spans="1:2">
      <c r="A27" s="190"/>
      <c r="B27" s="147"/>
    </row>
    <row r="28" spans="1:2" ht="16.5" customHeight="1">
      <c r="A28" s="189" t="s">
        <v>101</v>
      </c>
      <c r="B28" s="189" t="s">
        <v>23</v>
      </c>
    </row>
    <row r="29" spans="1:2">
      <c r="A29" s="190"/>
      <c r="B29" s="190"/>
    </row>
    <row r="30" spans="1:2">
      <c r="A30" s="190"/>
      <c r="B30" s="190"/>
    </row>
    <row r="31" spans="1:2" ht="16.5" customHeight="1">
      <c r="A31" s="21" t="s">
        <v>71</v>
      </c>
      <c r="B31" s="189" t="s">
        <v>25</v>
      </c>
    </row>
    <row r="32" spans="1:2">
      <c r="A32" s="22"/>
      <c r="B32" s="190"/>
    </row>
    <row r="33" spans="1:2">
      <c r="A33" s="23"/>
      <c r="B33" s="190"/>
    </row>
    <row r="34" spans="1:2" ht="16.5" customHeight="1">
      <c r="A34" s="199" t="s">
        <v>105</v>
      </c>
      <c r="B34" s="199" t="s">
        <v>174</v>
      </c>
    </row>
    <row r="35" spans="1:2">
      <c r="A35" s="200"/>
      <c r="B35" s="200"/>
    </row>
    <row r="36" spans="1:2">
      <c r="A36" s="200"/>
      <c r="B36" s="200"/>
    </row>
    <row r="37" spans="1:2" ht="16.5" customHeight="1">
      <c r="A37" s="213" t="s">
        <v>118</v>
      </c>
      <c r="B37" s="218" t="s">
        <v>177</v>
      </c>
    </row>
    <row r="38" spans="1:2">
      <c r="A38" s="214"/>
      <c r="B38" s="219"/>
    </row>
    <row r="39" spans="1:2">
      <c r="A39" s="214"/>
      <c r="B39" s="219"/>
    </row>
    <row r="40" spans="1:2" ht="16.5" customHeight="1">
      <c r="A40" s="189" t="s">
        <v>119</v>
      </c>
      <c r="B40" s="189" t="s">
        <v>26</v>
      </c>
    </row>
    <row r="41" spans="1:2">
      <c r="A41" s="190"/>
      <c r="B41" s="190"/>
    </row>
    <row r="42" spans="1:2">
      <c r="A42" s="190"/>
      <c r="B42" s="190"/>
    </row>
    <row r="43" spans="1:2" ht="16.5" customHeight="1">
      <c r="A43" s="189" t="s">
        <v>109</v>
      </c>
      <c r="B43" s="189" t="s">
        <v>27</v>
      </c>
    </row>
    <row r="44" spans="1:2">
      <c r="A44" s="190"/>
      <c r="B44" s="190"/>
    </row>
    <row r="45" spans="1:2">
      <c r="A45" s="190"/>
      <c r="B45" s="190"/>
    </row>
    <row r="46" spans="1:2" ht="16.5" customHeight="1">
      <c r="A46" s="210" t="s">
        <v>110</v>
      </c>
      <c r="B46" s="213" t="s">
        <v>178</v>
      </c>
    </row>
    <row r="47" spans="1:2">
      <c r="A47" s="211"/>
      <c r="B47" s="214"/>
    </row>
    <row r="48" spans="1:2">
      <c r="A48" s="212"/>
      <c r="B48" s="214"/>
    </row>
    <row r="49" spans="1:2" ht="16.5" customHeight="1">
      <c r="A49" s="210" t="s">
        <v>111</v>
      </c>
      <c r="B49" s="213" t="s">
        <v>179</v>
      </c>
    </row>
    <row r="50" spans="1:2">
      <c r="A50" s="211"/>
      <c r="B50" s="214"/>
    </row>
    <row r="51" spans="1:2">
      <c r="A51" s="212"/>
      <c r="B51" s="214"/>
    </row>
    <row r="52" spans="1:2" ht="16.5" customHeight="1">
      <c r="A52" s="189" t="s">
        <v>70</v>
      </c>
      <c r="B52" s="189" t="s">
        <v>34</v>
      </c>
    </row>
    <row r="53" spans="1:2">
      <c r="A53" s="190"/>
      <c r="B53" s="190"/>
    </row>
    <row r="54" spans="1:2">
      <c r="A54" s="190"/>
      <c r="B54" s="190"/>
    </row>
    <row r="55" spans="1:2" ht="16.5" customHeight="1">
      <c r="A55" s="207" t="s">
        <v>126</v>
      </c>
      <c r="B55" s="207" t="s">
        <v>183</v>
      </c>
    </row>
    <row r="56" spans="1:2">
      <c r="A56" s="208"/>
      <c r="B56" s="208"/>
    </row>
    <row r="57" spans="1:2">
      <c r="A57" s="209"/>
      <c r="B57" s="209"/>
    </row>
    <row r="58" spans="1:2" ht="16.5" customHeight="1">
      <c r="A58" s="189" t="s">
        <v>143</v>
      </c>
      <c r="B58" s="217" t="s">
        <v>190</v>
      </c>
    </row>
    <row r="59" spans="1:2">
      <c r="A59" s="190"/>
      <c r="B59" s="190"/>
    </row>
    <row r="60" spans="1:2">
      <c r="A60" s="190"/>
      <c r="B60" s="190"/>
    </row>
    <row r="61" spans="1:2" ht="16.5" customHeight="1">
      <c r="A61" s="135" t="s">
        <v>136</v>
      </c>
      <c r="B61" s="189" t="s">
        <v>36</v>
      </c>
    </row>
    <row r="62" spans="1:2">
      <c r="A62" s="135"/>
      <c r="B62" s="189"/>
    </row>
    <row r="63" spans="1:2">
      <c r="A63" s="135"/>
      <c r="B63" s="189"/>
    </row>
    <row r="64" spans="1:2">
      <c r="A64" s="197" t="s">
        <v>145</v>
      </c>
      <c r="B64" s="215" t="s">
        <v>192</v>
      </c>
    </row>
    <row r="65" spans="1:2">
      <c r="A65" s="198"/>
      <c r="B65" s="216"/>
    </row>
    <row r="66" spans="1:2">
      <c r="A66" s="198"/>
      <c r="B66" s="216"/>
    </row>
    <row r="67" spans="1:2" ht="16.5" customHeight="1">
      <c r="A67" s="197" t="s">
        <v>217</v>
      </c>
      <c r="B67" s="215" t="s">
        <v>192</v>
      </c>
    </row>
    <row r="68" spans="1:2">
      <c r="A68" s="198"/>
      <c r="B68" s="216"/>
    </row>
    <row r="69" spans="1:2">
      <c r="A69" s="198"/>
      <c r="B69" s="216"/>
    </row>
    <row r="70" spans="1:2">
      <c r="A70" s="204" t="s">
        <v>140</v>
      </c>
      <c r="B70" s="189" t="s">
        <v>214</v>
      </c>
    </row>
    <row r="71" spans="1:2" ht="16.5" customHeight="1">
      <c r="A71" s="205"/>
      <c r="B71" s="190"/>
    </row>
    <row r="72" spans="1:2">
      <c r="A72" s="206"/>
      <c r="B72" s="190"/>
    </row>
    <row r="73" spans="1:2">
      <c r="A73" s="194" t="s">
        <v>157</v>
      </c>
      <c r="B73" s="189" t="s">
        <v>157</v>
      </c>
    </row>
    <row r="74" spans="1:2" ht="16.5" customHeight="1">
      <c r="A74" s="195"/>
      <c r="B74" s="190"/>
    </row>
    <row r="75" spans="1:2">
      <c r="A75" s="196"/>
      <c r="B75" s="190"/>
    </row>
    <row r="76" spans="1:2">
      <c r="A76" s="189" t="s">
        <v>141</v>
      </c>
      <c r="B76" s="189" t="s">
        <v>215</v>
      </c>
    </row>
    <row r="77" spans="1:2" ht="16.5" customHeight="1">
      <c r="A77" s="190"/>
      <c r="B77" s="190"/>
    </row>
    <row r="78" spans="1:2">
      <c r="A78" s="190"/>
      <c r="B78" s="190"/>
    </row>
    <row r="79" spans="1:2">
      <c r="A79" s="189" t="s">
        <v>141</v>
      </c>
      <c r="B79" s="189" t="s">
        <v>215</v>
      </c>
    </row>
    <row r="80" spans="1:2" ht="16.5" customHeight="1">
      <c r="A80" s="190"/>
      <c r="B80" s="190"/>
    </row>
    <row r="81" spans="1:2">
      <c r="A81" s="190"/>
      <c r="B81" s="190"/>
    </row>
    <row r="82" spans="1:2">
      <c r="A82" s="18"/>
    </row>
  </sheetData>
  <mergeCells count="52">
    <mergeCell ref="B52:B54"/>
    <mergeCell ref="B49:B51"/>
    <mergeCell ref="B37:B39"/>
    <mergeCell ref="B40:B42"/>
    <mergeCell ref="B43:B45"/>
    <mergeCell ref="B64:B66"/>
    <mergeCell ref="B67:B69"/>
    <mergeCell ref="B61:B63"/>
    <mergeCell ref="B58:B60"/>
    <mergeCell ref="B55:B57"/>
    <mergeCell ref="B4:B6"/>
    <mergeCell ref="B7:B9"/>
    <mergeCell ref="B10:B12"/>
    <mergeCell ref="A70:A72"/>
    <mergeCell ref="A58:A60"/>
    <mergeCell ref="A55:A57"/>
    <mergeCell ref="A52:A54"/>
    <mergeCell ref="A46:A48"/>
    <mergeCell ref="A49:A51"/>
    <mergeCell ref="A37:A39"/>
    <mergeCell ref="A40:A42"/>
    <mergeCell ref="A43:A45"/>
    <mergeCell ref="A25:A27"/>
    <mergeCell ref="A28:A30"/>
    <mergeCell ref="A34:A36"/>
    <mergeCell ref="B46:B48"/>
    <mergeCell ref="A79:A81"/>
    <mergeCell ref="A61:A63"/>
    <mergeCell ref="A64:A66"/>
    <mergeCell ref="A67:A69"/>
    <mergeCell ref="B13:B15"/>
    <mergeCell ref="B34:B36"/>
    <mergeCell ref="B19:B21"/>
    <mergeCell ref="B22:B24"/>
    <mergeCell ref="B25:B27"/>
    <mergeCell ref="B28:B30"/>
    <mergeCell ref="B31:B33"/>
    <mergeCell ref="B16:B18"/>
    <mergeCell ref="B76:B78"/>
    <mergeCell ref="B79:B81"/>
    <mergeCell ref="B70:B72"/>
    <mergeCell ref="B73:B75"/>
    <mergeCell ref="A22:A24"/>
    <mergeCell ref="A10:A12"/>
    <mergeCell ref="A13:A15"/>
    <mergeCell ref="A73:A75"/>
    <mergeCell ref="A76:A78"/>
    <mergeCell ref="A2:A3"/>
    <mergeCell ref="A4:A6"/>
    <mergeCell ref="A7:A9"/>
    <mergeCell ref="A16:A18"/>
    <mergeCell ref="A19:A21"/>
  </mergeCells>
  <phoneticPr fontId="1" type="noConversion"/>
  <pageMargins left="0.7" right="0.7" top="0.75" bottom="0.75" header="0.3" footer="0.3"/>
  <pageSetup paperSize="9" orientation="portrait" horizontalDpi="3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8"/>
  <sheetViews>
    <sheetView workbookViewId="0">
      <selection activeCell="B79" sqref="A4:B81"/>
    </sheetView>
  </sheetViews>
  <sheetFormatPr defaultRowHeight="16.899999999999999"/>
  <sheetData>
    <row r="1" spans="1:2" ht="65.650000000000006">
      <c r="A1" s="27" t="s">
        <v>218</v>
      </c>
      <c r="B1" s="28" t="s">
        <v>219</v>
      </c>
    </row>
    <row r="2" spans="1:2" ht="52.5">
      <c r="A2" s="29" t="s">
        <v>220</v>
      </c>
      <c r="B2" s="29" t="s">
        <v>221</v>
      </c>
    </row>
    <row r="3" spans="1:2" ht="39.4">
      <c r="A3" s="29" t="s">
        <v>222</v>
      </c>
      <c r="B3" s="29" t="s">
        <v>223</v>
      </c>
    </row>
    <row r="4" spans="1:2" ht="65.650000000000006">
      <c r="A4" s="29" t="s">
        <v>224</v>
      </c>
      <c r="B4" s="29" t="s">
        <v>225</v>
      </c>
    </row>
    <row r="5" spans="1:2" ht="52.5">
      <c r="A5" s="29" t="s">
        <v>226</v>
      </c>
      <c r="B5" s="29" t="s">
        <v>227</v>
      </c>
    </row>
    <row r="6" spans="1:2" ht="157.5">
      <c r="A6" s="27" t="s">
        <v>228</v>
      </c>
      <c r="B6" s="30" t="s">
        <v>229</v>
      </c>
    </row>
    <row r="7" spans="1:2" ht="78.75">
      <c r="A7" s="29" t="s">
        <v>230</v>
      </c>
      <c r="B7" s="31" t="s">
        <v>231</v>
      </c>
    </row>
    <row r="8" spans="1:2" ht="118.15">
      <c r="A8" s="32" t="s">
        <v>232</v>
      </c>
      <c r="B8" s="33" t="s">
        <v>233</v>
      </c>
    </row>
    <row r="9" spans="1:2" ht="52.5">
      <c r="A9" s="29" t="s">
        <v>234</v>
      </c>
      <c r="B9" s="27" t="s">
        <v>235</v>
      </c>
    </row>
    <row r="10" spans="1:2" ht="26.25">
      <c r="A10" s="34" t="s">
        <v>236</v>
      </c>
      <c r="B10" s="220" t="s">
        <v>237</v>
      </c>
    </row>
    <row r="11" spans="1:2">
      <c r="A11" s="34"/>
      <c r="B11" s="221"/>
    </row>
    <row r="12" spans="1:2">
      <c r="A12" s="29"/>
      <c r="B12" s="222"/>
    </row>
    <row r="13" spans="1:2" ht="52.5">
      <c r="A13" s="28" t="s">
        <v>238</v>
      </c>
      <c r="B13" s="32" t="s">
        <v>239</v>
      </c>
    </row>
    <row r="14" spans="1:2" ht="78.75">
      <c r="A14" s="35" t="s">
        <v>240</v>
      </c>
      <c r="B14" s="36" t="s">
        <v>241</v>
      </c>
    </row>
    <row r="15" spans="1:2" ht="52.5">
      <c r="A15" s="29" t="s">
        <v>242</v>
      </c>
      <c r="B15" s="29" t="s">
        <v>243</v>
      </c>
    </row>
    <row r="16" spans="1:2" ht="118.15">
      <c r="A16" s="29" t="s">
        <v>244</v>
      </c>
      <c r="B16" s="29" t="s">
        <v>245</v>
      </c>
    </row>
    <row r="17" spans="1:2" ht="91.9">
      <c r="A17" s="35" t="s">
        <v>246</v>
      </c>
      <c r="B17" s="35" t="s">
        <v>246</v>
      </c>
    </row>
    <row r="18" spans="1:2" ht="52.5">
      <c r="A18" s="37" t="s">
        <v>179</v>
      </c>
      <c r="B18" s="35" t="s">
        <v>179</v>
      </c>
    </row>
    <row r="19" spans="1:2" ht="105">
      <c r="A19" s="27" t="s">
        <v>247</v>
      </c>
      <c r="B19" s="29" t="s">
        <v>248</v>
      </c>
    </row>
    <row r="20" spans="1:2" ht="65.650000000000006">
      <c r="A20" s="32" t="s">
        <v>183</v>
      </c>
      <c r="B20" s="32" t="s">
        <v>183</v>
      </c>
    </row>
    <row r="21" spans="1:2" ht="210">
      <c r="A21" s="27" t="s">
        <v>249</v>
      </c>
      <c r="B21" s="27" t="s">
        <v>250</v>
      </c>
    </row>
    <row r="22" spans="1:2" ht="65.650000000000006">
      <c r="A22" s="30" t="s">
        <v>251</v>
      </c>
      <c r="B22" s="29" t="s">
        <v>252</v>
      </c>
    </row>
    <row r="23" spans="1:2" ht="105">
      <c r="A23" s="38" t="s">
        <v>253</v>
      </c>
      <c r="B23" s="39" t="s">
        <v>254</v>
      </c>
    </row>
    <row r="24" spans="1:2" ht="105">
      <c r="A24" s="38" t="s">
        <v>255</v>
      </c>
      <c r="B24" s="39" t="s">
        <v>254</v>
      </c>
    </row>
    <row r="25" spans="1:2" ht="91.9">
      <c r="A25" s="29" t="s">
        <v>256</v>
      </c>
      <c r="B25" s="29" t="s">
        <v>256</v>
      </c>
    </row>
    <row r="26" spans="1:2" ht="105">
      <c r="A26" s="31" t="s">
        <v>257</v>
      </c>
      <c r="B26" s="29" t="s">
        <v>257</v>
      </c>
    </row>
    <row r="27" spans="1:2" ht="91.9">
      <c r="A27" s="27" t="s">
        <v>258</v>
      </c>
      <c r="B27" s="29" t="s">
        <v>258</v>
      </c>
    </row>
    <row r="28" spans="1:2" ht="91.9">
      <c r="A28" s="29" t="s">
        <v>258</v>
      </c>
      <c r="B28" s="29" t="s">
        <v>258</v>
      </c>
    </row>
  </sheetData>
  <mergeCells count="1">
    <mergeCell ref="B10:B12"/>
  </mergeCells>
  <phoneticPr fontId="1" type="noConversion"/>
  <pageMargins left="0.7" right="0.7" top="0.75" bottom="0.75" header="0.3" footer="0.3"/>
  <pageSetup paperSize="9" orientation="portrait" horizontalDpi="3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78"/>
  <sheetViews>
    <sheetView topLeftCell="A25" workbookViewId="0">
      <selection activeCell="B79" sqref="A4:B81"/>
    </sheetView>
  </sheetViews>
  <sheetFormatPr defaultRowHeight="16.899999999999999"/>
  <cols>
    <col min="2" max="2" width="23.5" customWidth="1"/>
  </cols>
  <sheetData>
    <row r="1" spans="1:2">
      <c r="A1" s="140">
        <v>1</v>
      </c>
      <c r="B1" s="224" t="s">
        <v>73</v>
      </c>
    </row>
    <row r="2" spans="1:2">
      <c r="A2" s="141"/>
      <c r="B2" s="224"/>
    </row>
    <row r="3" spans="1:2">
      <c r="A3" s="141"/>
      <c r="B3" s="224"/>
    </row>
    <row r="4" spans="1:2">
      <c r="A4" s="140">
        <v>2</v>
      </c>
      <c r="B4" s="224" t="s">
        <v>73</v>
      </c>
    </row>
    <row r="5" spans="1:2">
      <c r="A5" s="141"/>
      <c r="B5" s="224"/>
    </row>
    <row r="6" spans="1:2">
      <c r="A6" s="141"/>
      <c r="B6" s="224"/>
    </row>
    <row r="7" spans="1:2">
      <c r="A7" s="140">
        <v>3</v>
      </c>
      <c r="B7" s="224" t="s">
        <v>73</v>
      </c>
    </row>
    <row r="8" spans="1:2">
      <c r="A8" s="141"/>
      <c r="B8" s="224"/>
    </row>
    <row r="9" spans="1:2">
      <c r="A9" s="141"/>
      <c r="B9" s="224"/>
    </row>
    <row r="10" spans="1:2">
      <c r="A10" s="140">
        <v>4</v>
      </c>
      <c r="B10" s="223" t="s">
        <v>74</v>
      </c>
    </row>
    <row r="11" spans="1:2">
      <c r="A11" s="141"/>
      <c r="B11" s="224"/>
    </row>
    <row r="12" spans="1:2">
      <c r="A12" s="141"/>
      <c r="B12" s="224"/>
    </row>
    <row r="13" spans="1:2">
      <c r="A13" s="140">
        <v>5</v>
      </c>
      <c r="B13" s="225" t="s">
        <v>75</v>
      </c>
    </row>
    <row r="14" spans="1:2">
      <c r="A14" s="141"/>
      <c r="B14" s="224"/>
    </row>
    <row r="15" spans="1:2">
      <c r="A15" s="141"/>
      <c r="B15" s="224"/>
    </row>
    <row r="16" spans="1:2">
      <c r="A16" s="140">
        <v>6</v>
      </c>
      <c r="B16" s="225" t="s">
        <v>76</v>
      </c>
    </row>
    <row r="17" spans="1:2">
      <c r="A17" s="141"/>
      <c r="B17" s="224"/>
    </row>
    <row r="18" spans="1:2">
      <c r="A18" s="141"/>
      <c r="B18" s="224"/>
    </row>
    <row r="19" spans="1:2">
      <c r="A19" s="140">
        <v>7</v>
      </c>
      <c r="B19" s="225" t="s">
        <v>76</v>
      </c>
    </row>
    <row r="20" spans="1:2">
      <c r="A20" s="141"/>
      <c r="B20" s="225"/>
    </row>
    <row r="21" spans="1:2">
      <c r="A21" s="141"/>
      <c r="B21" s="225"/>
    </row>
    <row r="22" spans="1:2">
      <c r="A22" s="140">
        <v>8</v>
      </c>
      <c r="B22" s="223" t="s">
        <v>94</v>
      </c>
    </row>
    <row r="23" spans="1:2">
      <c r="A23" s="141"/>
      <c r="B23" s="224"/>
    </row>
    <row r="24" spans="1:2">
      <c r="A24" s="141"/>
      <c r="B24" s="224"/>
    </row>
    <row r="25" spans="1:2">
      <c r="A25" s="140">
        <v>9</v>
      </c>
      <c r="B25" s="223" t="s">
        <v>94</v>
      </c>
    </row>
    <row r="26" spans="1:2">
      <c r="A26" s="141"/>
      <c r="B26" s="224"/>
    </row>
    <row r="27" spans="1:2">
      <c r="A27" s="141"/>
      <c r="B27" s="224"/>
    </row>
    <row r="28" spans="1:2">
      <c r="A28" s="140">
        <v>10</v>
      </c>
      <c r="B28" s="223" t="s">
        <v>94</v>
      </c>
    </row>
    <row r="29" spans="1:2">
      <c r="A29" s="141"/>
      <c r="B29" s="224"/>
    </row>
    <row r="30" spans="1:2">
      <c r="A30" s="141"/>
      <c r="B30" s="224"/>
    </row>
    <row r="31" spans="1:2">
      <c r="A31" s="140">
        <v>11</v>
      </c>
      <c r="B31" s="223" t="s">
        <v>94</v>
      </c>
    </row>
    <row r="32" spans="1:2">
      <c r="A32" s="141"/>
      <c r="B32" s="224"/>
    </row>
    <row r="33" spans="1:2">
      <c r="A33" s="141"/>
      <c r="B33" s="224"/>
    </row>
    <row r="34" spans="1:2">
      <c r="A34" s="140">
        <v>12</v>
      </c>
      <c r="B34" s="224" t="s">
        <v>80</v>
      </c>
    </row>
    <row r="35" spans="1:2">
      <c r="A35" s="141"/>
      <c r="B35" s="224"/>
    </row>
    <row r="36" spans="1:2">
      <c r="A36" s="141"/>
      <c r="B36" s="224"/>
    </row>
    <row r="37" spans="1:2">
      <c r="A37" s="140">
        <v>13</v>
      </c>
      <c r="B37" s="225" t="s">
        <v>95</v>
      </c>
    </row>
    <row r="38" spans="1:2">
      <c r="A38" s="141"/>
      <c r="B38" s="225"/>
    </row>
    <row r="39" spans="1:2">
      <c r="A39" s="141"/>
      <c r="B39" s="225"/>
    </row>
    <row r="40" spans="1:2">
      <c r="A40" s="140">
        <v>14</v>
      </c>
      <c r="B40" s="225" t="s">
        <v>96</v>
      </c>
    </row>
    <row r="41" spans="1:2">
      <c r="A41" s="141"/>
      <c r="B41" s="225"/>
    </row>
    <row r="42" spans="1:2">
      <c r="A42" s="141"/>
      <c r="B42" s="225"/>
    </row>
    <row r="43" spans="1:2">
      <c r="A43" s="140">
        <v>15</v>
      </c>
      <c r="B43" s="225" t="s">
        <v>269</v>
      </c>
    </row>
    <row r="44" spans="1:2">
      <c r="A44" s="141"/>
      <c r="B44" s="225"/>
    </row>
    <row r="45" spans="1:2">
      <c r="A45" s="141"/>
      <c r="B45" s="225"/>
    </row>
    <row r="46" spans="1:2">
      <c r="A46" s="140">
        <v>16</v>
      </c>
      <c r="B46" s="223" t="s">
        <v>99</v>
      </c>
    </row>
    <row r="47" spans="1:2">
      <c r="A47" s="141"/>
      <c r="B47" s="224"/>
    </row>
    <row r="48" spans="1:2">
      <c r="A48" s="141"/>
      <c r="B48" s="224"/>
    </row>
    <row r="49" spans="1:2">
      <c r="A49" s="140">
        <v>17</v>
      </c>
      <c r="B49" s="223" t="s">
        <v>99</v>
      </c>
    </row>
    <row r="50" spans="1:2">
      <c r="A50" s="141"/>
      <c r="B50" s="224"/>
    </row>
    <row r="51" spans="1:2">
      <c r="A51" s="141"/>
      <c r="B51" s="224"/>
    </row>
    <row r="52" spans="1:2">
      <c r="A52" s="140">
        <v>18</v>
      </c>
      <c r="B52" s="223" t="s">
        <v>99</v>
      </c>
    </row>
    <row r="53" spans="1:2">
      <c r="A53" s="141"/>
      <c r="B53" s="224"/>
    </row>
    <row r="54" spans="1:2">
      <c r="A54" s="141"/>
      <c r="B54" s="224"/>
    </row>
    <row r="55" spans="1:2">
      <c r="A55" s="140">
        <v>19</v>
      </c>
      <c r="B55" s="225" t="s">
        <v>102</v>
      </c>
    </row>
    <row r="56" spans="1:2">
      <c r="A56" s="141"/>
      <c r="B56" s="225"/>
    </row>
    <row r="57" spans="1:2">
      <c r="A57" s="141"/>
      <c r="B57" s="225"/>
    </row>
    <row r="58" spans="1:2">
      <c r="A58" s="140">
        <v>20</v>
      </c>
      <c r="B58" s="225" t="s">
        <v>259</v>
      </c>
    </row>
    <row r="59" spans="1:2">
      <c r="A59" s="141"/>
      <c r="B59" s="225"/>
    </row>
    <row r="60" spans="1:2">
      <c r="A60" s="141"/>
      <c r="B60" s="225"/>
    </row>
    <row r="61" spans="1:2">
      <c r="A61" s="140">
        <v>21</v>
      </c>
      <c r="B61" s="225" t="s">
        <v>103</v>
      </c>
    </row>
    <row r="62" spans="1:2">
      <c r="A62" s="141"/>
      <c r="B62" s="225"/>
    </row>
    <row r="63" spans="1:2">
      <c r="A63" s="141"/>
      <c r="B63" s="225"/>
    </row>
    <row r="64" spans="1:2">
      <c r="A64" s="140">
        <v>22</v>
      </c>
      <c r="B64" s="225" t="s">
        <v>104</v>
      </c>
    </row>
    <row r="65" spans="1:2">
      <c r="A65" s="141"/>
      <c r="B65" s="225"/>
    </row>
    <row r="66" spans="1:2">
      <c r="A66" s="141"/>
      <c r="B66" s="225"/>
    </row>
    <row r="67" spans="1:2">
      <c r="A67" s="140">
        <v>23</v>
      </c>
      <c r="B67" s="225" t="s">
        <v>260</v>
      </c>
    </row>
    <row r="68" spans="1:2">
      <c r="A68" s="141"/>
      <c r="B68" s="225"/>
    </row>
    <row r="69" spans="1:2">
      <c r="A69" s="141"/>
      <c r="B69" s="225"/>
    </row>
    <row r="70" spans="1:2">
      <c r="A70" s="140">
        <v>24</v>
      </c>
      <c r="B70" s="225" t="s">
        <v>104</v>
      </c>
    </row>
    <row r="71" spans="1:2">
      <c r="A71" s="141"/>
      <c r="B71" s="225"/>
    </row>
    <row r="72" spans="1:2">
      <c r="A72" s="141"/>
      <c r="B72" s="225"/>
    </row>
    <row r="73" spans="1:2">
      <c r="A73" s="140">
        <v>25</v>
      </c>
      <c r="B73" s="225" t="s">
        <v>91</v>
      </c>
    </row>
    <row r="74" spans="1:2">
      <c r="A74" s="141"/>
      <c r="B74" s="225"/>
    </row>
    <row r="75" spans="1:2">
      <c r="A75" s="141"/>
      <c r="B75" s="225"/>
    </row>
    <row r="76" spans="1:2">
      <c r="A76" s="140">
        <v>26</v>
      </c>
      <c r="B76" s="226" t="s">
        <v>261</v>
      </c>
    </row>
    <row r="77" spans="1:2">
      <c r="A77" s="141"/>
      <c r="B77" s="225"/>
    </row>
    <row r="78" spans="1:2">
      <c r="A78" s="141"/>
      <c r="B78" s="225"/>
    </row>
    <row r="79" spans="1:2">
      <c r="A79" s="227" t="s">
        <v>161</v>
      </c>
      <c r="B79" s="230" t="s">
        <v>106</v>
      </c>
    </row>
    <row r="80" spans="1:2">
      <c r="A80" s="228"/>
      <c r="B80" s="231"/>
    </row>
    <row r="81" spans="1:2">
      <c r="A81" s="229"/>
      <c r="B81" s="232"/>
    </row>
    <row r="82" spans="1:2">
      <c r="A82" s="142">
        <v>28</v>
      </c>
      <c r="B82" s="225" t="s">
        <v>81</v>
      </c>
    </row>
    <row r="83" spans="1:2">
      <c r="A83" s="141"/>
      <c r="B83" s="225"/>
    </row>
    <row r="84" spans="1:2">
      <c r="A84" s="141"/>
      <c r="B84" s="225"/>
    </row>
    <row r="85" spans="1:2">
      <c r="A85" s="140">
        <v>29</v>
      </c>
      <c r="B85" s="225" t="s">
        <v>95</v>
      </c>
    </row>
    <row r="86" spans="1:2">
      <c r="A86" s="141"/>
      <c r="B86" s="225"/>
    </row>
    <row r="87" spans="1:2">
      <c r="A87" s="141"/>
      <c r="B87" s="225"/>
    </row>
    <row r="88" spans="1:2">
      <c r="A88" s="142">
        <v>30</v>
      </c>
      <c r="B88" s="225" t="s">
        <v>107</v>
      </c>
    </row>
    <row r="89" spans="1:2">
      <c r="A89" s="141"/>
      <c r="B89" s="225"/>
    </row>
    <row r="90" spans="1:2">
      <c r="A90" s="141"/>
      <c r="B90" s="225"/>
    </row>
    <row r="91" spans="1:2">
      <c r="A91" s="142">
        <v>31</v>
      </c>
      <c r="B91" s="225" t="s">
        <v>107</v>
      </c>
    </row>
    <row r="92" spans="1:2">
      <c r="A92" s="141"/>
      <c r="B92" s="225"/>
    </row>
    <row r="93" spans="1:2">
      <c r="A93" s="141"/>
      <c r="B93" s="225"/>
    </row>
    <row r="94" spans="1:2">
      <c r="A94" s="236">
        <v>32</v>
      </c>
      <c r="B94" s="225" t="s">
        <v>108</v>
      </c>
    </row>
    <row r="95" spans="1:2">
      <c r="A95" s="234"/>
      <c r="B95" s="225"/>
    </row>
    <row r="96" spans="1:2">
      <c r="A96" s="234"/>
      <c r="B96" s="225"/>
    </row>
    <row r="97" spans="1:2">
      <c r="A97" s="237" t="s">
        <v>162</v>
      </c>
      <c r="B97" s="225" t="s">
        <v>108</v>
      </c>
    </row>
    <row r="98" spans="1:2">
      <c r="A98" s="234"/>
      <c r="B98" s="225"/>
    </row>
    <row r="99" spans="1:2">
      <c r="A99" s="234"/>
      <c r="B99" s="225"/>
    </row>
    <row r="100" spans="1:2">
      <c r="A100" s="140">
        <v>34</v>
      </c>
      <c r="B100" s="225" t="s">
        <v>122</v>
      </c>
    </row>
    <row r="101" spans="1:2">
      <c r="A101" s="141"/>
      <c r="B101" s="225"/>
    </row>
    <row r="102" spans="1:2">
      <c r="A102" s="141"/>
      <c r="B102" s="225"/>
    </row>
    <row r="103" spans="1:2">
      <c r="A103" s="140">
        <v>35</v>
      </c>
      <c r="B103" s="225" t="s">
        <v>122</v>
      </c>
    </row>
    <row r="104" spans="1:2">
      <c r="A104" s="141"/>
      <c r="B104" s="225"/>
    </row>
    <row r="105" spans="1:2">
      <c r="A105" s="141"/>
      <c r="B105" s="225"/>
    </row>
    <row r="106" spans="1:2">
      <c r="A106" s="233" t="s">
        <v>262</v>
      </c>
      <c r="B106" s="235" t="s">
        <v>123</v>
      </c>
    </row>
    <row r="107" spans="1:2">
      <c r="A107" s="234"/>
      <c r="B107" s="225"/>
    </row>
    <row r="108" spans="1:2">
      <c r="A108" s="234"/>
      <c r="B108" s="225"/>
    </row>
    <row r="109" spans="1:2">
      <c r="A109" s="238">
        <v>37</v>
      </c>
      <c r="B109" s="225" t="s">
        <v>123</v>
      </c>
    </row>
    <row r="110" spans="1:2">
      <c r="A110" s="234"/>
      <c r="B110" s="224"/>
    </row>
    <row r="111" spans="1:2">
      <c r="A111" s="234"/>
      <c r="B111" s="224"/>
    </row>
    <row r="112" spans="1:2">
      <c r="A112" s="238">
        <v>38</v>
      </c>
      <c r="B112" s="223" t="s">
        <v>96</v>
      </c>
    </row>
    <row r="113" spans="1:2">
      <c r="A113" s="234"/>
      <c r="B113" s="224"/>
    </row>
    <row r="114" spans="1:2">
      <c r="A114" s="234"/>
      <c r="B114" s="224"/>
    </row>
    <row r="115" spans="1:2">
      <c r="A115" s="233" t="s">
        <v>163</v>
      </c>
      <c r="B115" s="223" t="s">
        <v>96</v>
      </c>
    </row>
    <row r="116" spans="1:2">
      <c r="A116" s="234"/>
      <c r="B116" s="224"/>
    </row>
    <row r="117" spans="1:2">
      <c r="A117" s="234"/>
      <c r="B117" s="224"/>
    </row>
    <row r="118" spans="1:2">
      <c r="A118" s="142">
        <v>40</v>
      </c>
      <c r="B118" s="225" t="s">
        <v>81</v>
      </c>
    </row>
    <row r="119" spans="1:2">
      <c r="A119" s="141"/>
      <c r="B119" s="225"/>
    </row>
    <row r="120" spans="1:2">
      <c r="A120" s="141"/>
      <c r="B120" s="225"/>
    </row>
    <row r="121" spans="1:2">
      <c r="A121" s="142">
        <v>41</v>
      </c>
      <c r="B121" s="225" t="s">
        <v>81</v>
      </c>
    </row>
    <row r="122" spans="1:2">
      <c r="A122" s="141"/>
      <c r="B122" s="224"/>
    </row>
    <row r="123" spans="1:2">
      <c r="A123" s="141"/>
      <c r="B123" s="224"/>
    </row>
    <row r="124" spans="1:2">
      <c r="A124" s="142">
        <v>42</v>
      </c>
      <c r="B124" s="225" t="s">
        <v>81</v>
      </c>
    </row>
    <row r="125" spans="1:2">
      <c r="A125" s="141"/>
      <c r="B125" s="224"/>
    </row>
    <row r="126" spans="1:2">
      <c r="A126" s="141"/>
      <c r="B126" s="224"/>
    </row>
    <row r="127" spans="1:2">
      <c r="A127" s="142">
        <v>43</v>
      </c>
      <c r="B127" s="225" t="s">
        <v>263</v>
      </c>
    </row>
    <row r="128" spans="1:2">
      <c r="A128" s="141"/>
      <c r="B128" s="224"/>
    </row>
    <row r="129" spans="1:2">
      <c r="A129" s="141"/>
      <c r="B129" s="224"/>
    </row>
    <row r="130" spans="1:2">
      <c r="A130" s="236">
        <v>44</v>
      </c>
      <c r="B130" s="225" t="s">
        <v>87</v>
      </c>
    </row>
    <row r="131" spans="1:2">
      <c r="A131" s="234"/>
      <c r="B131" s="225"/>
    </row>
    <row r="132" spans="1:2">
      <c r="A132" s="234"/>
      <c r="B132" s="225"/>
    </row>
    <row r="133" spans="1:2">
      <c r="A133" s="237" t="s">
        <v>164</v>
      </c>
      <c r="B133" s="225" t="s">
        <v>87</v>
      </c>
    </row>
    <row r="134" spans="1:2">
      <c r="A134" s="234"/>
      <c r="B134" s="225"/>
    </row>
    <row r="135" spans="1:2">
      <c r="A135" s="234"/>
      <c r="B135" s="225"/>
    </row>
    <row r="136" spans="1:2">
      <c r="A136" s="237" t="s">
        <v>165</v>
      </c>
      <c r="B136" s="225" t="s">
        <v>87</v>
      </c>
    </row>
    <row r="137" spans="1:2">
      <c r="A137" s="234"/>
      <c r="B137" s="225"/>
    </row>
    <row r="138" spans="1:2">
      <c r="A138" s="234"/>
      <c r="B138" s="225"/>
    </row>
    <row r="139" spans="1:2">
      <c r="A139" s="142">
        <v>47</v>
      </c>
      <c r="B139" s="239" t="s">
        <v>120</v>
      </c>
    </row>
    <row r="140" spans="1:2">
      <c r="A140" s="141"/>
      <c r="B140" s="239"/>
    </row>
    <row r="141" spans="1:2">
      <c r="A141" s="141"/>
      <c r="B141" s="239"/>
    </row>
    <row r="142" spans="1:2">
      <c r="A142" s="142">
        <v>48</v>
      </c>
      <c r="B142" s="225" t="s">
        <v>112</v>
      </c>
    </row>
    <row r="143" spans="1:2">
      <c r="A143" s="141"/>
      <c r="B143" s="224"/>
    </row>
    <row r="144" spans="1:2">
      <c r="A144" s="141"/>
      <c r="B144" s="224"/>
    </row>
    <row r="145" spans="1:2">
      <c r="A145" s="142">
        <v>49</v>
      </c>
      <c r="B145" s="225" t="s">
        <v>89</v>
      </c>
    </row>
    <row r="146" spans="1:2">
      <c r="A146" s="141"/>
      <c r="B146" s="224"/>
    </row>
    <row r="147" spans="1:2">
      <c r="A147" s="141"/>
      <c r="B147" s="224"/>
    </row>
    <row r="148" spans="1:2">
      <c r="A148" s="142">
        <v>50</v>
      </c>
      <c r="B148" s="225" t="s">
        <v>112</v>
      </c>
    </row>
    <row r="149" spans="1:2">
      <c r="A149" s="141"/>
      <c r="B149" s="224"/>
    </row>
    <row r="150" spans="1:2">
      <c r="A150" s="141"/>
      <c r="B150" s="224"/>
    </row>
    <row r="151" spans="1:2">
      <c r="A151" s="142">
        <v>51</v>
      </c>
      <c r="B151" s="225" t="s">
        <v>89</v>
      </c>
    </row>
    <row r="152" spans="1:2">
      <c r="A152" s="141"/>
      <c r="B152" s="225"/>
    </row>
    <row r="153" spans="1:2">
      <c r="A153" s="141"/>
      <c r="B153" s="225"/>
    </row>
    <row r="154" spans="1:2">
      <c r="A154" s="142">
        <v>52</v>
      </c>
      <c r="B154" s="225" t="s">
        <v>89</v>
      </c>
    </row>
    <row r="155" spans="1:2">
      <c r="A155" s="141"/>
      <c r="B155" s="225"/>
    </row>
    <row r="156" spans="1:2">
      <c r="A156" s="141"/>
      <c r="B156" s="225"/>
    </row>
    <row r="157" spans="1:2">
      <c r="A157" s="240" t="s">
        <v>265</v>
      </c>
      <c r="B157" s="225" t="s">
        <v>89</v>
      </c>
    </row>
    <row r="158" spans="1:2">
      <c r="A158" s="141"/>
      <c r="B158" s="225"/>
    </row>
    <row r="159" spans="1:2">
      <c r="A159" s="141"/>
      <c r="B159" s="225"/>
    </row>
    <row r="160" spans="1:2">
      <c r="A160" s="140">
        <v>54</v>
      </c>
      <c r="B160" s="225" t="s">
        <v>89</v>
      </c>
    </row>
    <row r="161" spans="1:2">
      <c r="A161" s="141"/>
      <c r="B161" s="225"/>
    </row>
    <row r="162" spans="1:2">
      <c r="A162" s="141"/>
      <c r="B162" s="225"/>
    </row>
    <row r="163" spans="1:2">
      <c r="A163" s="140">
        <v>55</v>
      </c>
      <c r="B163" s="225" t="s">
        <v>113</v>
      </c>
    </row>
    <row r="164" spans="1:2">
      <c r="A164" s="141"/>
      <c r="B164" s="225"/>
    </row>
    <row r="165" spans="1:2">
      <c r="A165" s="141"/>
      <c r="B165" s="225"/>
    </row>
    <row r="166" spans="1:2">
      <c r="A166" s="142">
        <v>56</v>
      </c>
      <c r="B166" s="241" t="s">
        <v>82</v>
      </c>
    </row>
    <row r="167" spans="1:2">
      <c r="A167" s="141"/>
      <c r="B167" s="242"/>
    </row>
    <row r="168" spans="1:2">
      <c r="A168" s="141"/>
      <c r="B168" s="242"/>
    </row>
    <row r="169" spans="1:2">
      <c r="A169" s="142">
        <v>57</v>
      </c>
      <c r="B169" s="225" t="s">
        <v>89</v>
      </c>
    </row>
    <row r="170" spans="1:2">
      <c r="A170" s="141"/>
      <c r="B170" s="225"/>
    </row>
    <row r="171" spans="1:2">
      <c r="A171" s="141"/>
      <c r="B171" s="225"/>
    </row>
    <row r="172" spans="1:2">
      <c r="A172" s="142">
        <v>58</v>
      </c>
      <c r="B172" s="225" t="s">
        <v>89</v>
      </c>
    </row>
    <row r="173" spans="1:2">
      <c r="A173" s="141"/>
      <c r="B173" s="225"/>
    </row>
    <row r="174" spans="1:2">
      <c r="A174" s="141"/>
      <c r="B174" s="225"/>
    </row>
    <row r="175" spans="1:2">
      <c r="A175" s="142">
        <v>59</v>
      </c>
      <c r="B175" s="225" t="s">
        <v>114</v>
      </c>
    </row>
    <row r="176" spans="1:2">
      <c r="A176" s="141"/>
      <c r="B176" s="225"/>
    </row>
    <row r="177" spans="1:2">
      <c r="A177" s="141"/>
      <c r="B177" s="225"/>
    </row>
    <row r="178" spans="1:2">
      <c r="A178" s="142">
        <v>60</v>
      </c>
      <c r="B178" s="225" t="s">
        <v>89</v>
      </c>
    </row>
    <row r="179" spans="1:2">
      <c r="A179" s="141"/>
      <c r="B179" s="225"/>
    </row>
    <row r="180" spans="1:2">
      <c r="A180" s="141"/>
      <c r="B180" s="225"/>
    </row>
    <row r="181" spans="1:2">
      <c r="A181" s="140">
        <v>61</v>
      </c>
      <c r="B181" s="243" t="s">
        <v>107</v>
      </c>
    </row>
    <row r="182" spans="1:2">
      <c r="A182" s="141"/>
      <c r="B182" s="243"/>
    </row>
    <row r="183" spans="1:2">
      <c r="A183" s="141"/>
      <c r="B183" s="243"/>
    </row>
    <row r="184" spans="1:2">
      <c r="A184" s="237" t="s">
        <v>124</v>
      </c>
      <c r="B184" s="225" t="s">
        <v>115</v>
      </c>
    </row>
    <row r="185" spans="1:2">
      <c r="A185" s="234"/>
      <c r="B185" s="225"/>
    </row>
    <row r="186" spans="1:2">
      <c r="A186" s="234"/>
      <c r="B186" s="225"/>
    </row>
    <row r="187" spans="1:2">
      <c r="A187" s="236">
        <v>63</v>
      </c>
      <c r="B187" s="225" t="s">
        <v>116</v>
      </c>
    </row>
    <row r="188" spans="1:2">
      <c r="A188" s="234"/>
      <c r="B188" s="225"/>
    </row>
    <row r="189" spans="1:2">
      <c r="A189" s="234"/>
      <c r="B189" s="225"/>
    </row>
    <row r="190" spans="1:2">
      <c r="A190" s="236">
        <v>64</v>
      </c>
      <c r="B190" s="225" t="s">
        <v>115</v>
      </c>
    </row>
    <row r="191" spans="1:2">
      <c r="A191" s="234"/>
      <c r="B191" s="225"/>
    </row>
    <row r="192" spans="1:2">
      <c r="A192" s="234"/>
      <c r="B192" s="225"/>
    </row>
    <row r="193" spans="1:2">
      <c r="A193" s="236">
        <v>65</v>
      </c>
      <c r="B193" s="225" t="s">
        <v>116</v>
      </c>
    </row>
    <row r="194" spans="1:2">
      <c r="A194" s="234"/>
      <c r="B194" s="225"/>
    </row>
    <row r="195" spans="1:2">
      <c r="A195" s="234"/>
      <c r="B195" s="225"/>
    </row>
    <row r="196" spans="1:2">
      <c r="A196" s="142">
        <v>66</v>
      </c>
      <c r="B196" s="225" t="s">
        <v>125</v>
      </c>
    </row>
    <row r="197" spans="1:2">
      <c r="A197" s="141"/>
      <c r="B197" s="224"/>
    </row>
    <row r="198" spans="1:2">
      <c r="A198" s="141"/>
      <c r="B198" s="224"/>
    </row>
    <row r="199" spans="1:2">
      <c r="A199" s="236">
        <v>67</v>
      </c>
      <c r="B199" s="225" t="s">
        <v>88</v>
      </c>
    </row>
    <row r="200" spans="1:2">
      <c r="A200" s="234"/>
      <c r="B200" s="224"/>
    </row>
    <row r="201" spans="1:2">
      <c r="A201" s="234"/>
      <c r="B201" s="224"/>
    </row>
    <row r="202" spans="1:2">
      <c r="A202" s="142">
        <v>68</v>
      </c>
      <c r="B202" s="243" t="s">
        <v>88</v>
      </c>
    </row>
    <row r="203" spans="1:2">
      <c r="A203" s="141"/>
      <c r="B203" s="245"/>
    </row>
    <row r="204" spans="1:2">
      <c r="A204" s="141"/>
      <c r="B204" s="245"/>
    </row>
    <row r="205" spans="1:2">
      <c r="A205" s="142">
        <v>69</v>
      </c>
      <c r="B205" s="243" t="s">
        <v>88</v>
      </c>
    </row>
    <row r="206" spans="1:2">
      <c r="A206" s="141"/>
      <c r="B206" s="245"/>
    </row>
    <row r="207" spans="1:2">
      <c r="A207" s="141"/>
      <c r="B207" s="245"/>
    </row>
    <row r="208" spans="1:2">
      <c r="A208" s="244">
        <v>70</v>
      </c>
      <c r="B208" s="225" t="s">
        <v>117</v>
      </c>
    </row>
    <row r="209" spans="1:2">
      <c r="A209" s="144"/>
      <c r="B209" s="224"/>
    </row>
    <row r="210" spans="1:2">
      <c r="A210" s="144"/>
      <c r="B210" s="224"/>
    </row>
    <row r="211" spans="1:2">
      <c r="A211" s="142">
        <v>71</v>
      </c>
      <c r="B211" s="225" t="s">
        <v>121</v>
      </c>
    </row>
    <row r="212" spans="1:2">
      <c r="A212" s="141"/>
      <c r="B212" s="225"/>
    </row>
    <row r="213" spans="1:2">
      <c r="A213" s="141"/>
      <c r="B213" s="225"/>
    </row>
    <row r="214" spans="1:2">
      <c r="A214" s="142">
        <v>72</v>
      </c>
      <c r="B214" s="225" t="s">
        <v>89</v>
      </c>
    </row>
    <row r="215" spans="1:2">
      <c r="A215" s="141"/>
      <c r="B215" s="225"/>
    </row>
    <row r="216" spans="1:2">
      <c r="A216" s="141"/>
      <c r="B216" s="225"/>
    </row>
    <row r="217" spans="1:2">
      <c r="A217" s="140">
        <v>73</v>
      </c>
      <c r="B217" s="225" t="s">
        <v>115</v>
      </c>
    </row>
    <row r="218" spans="1:2">
      <c r="A218" s="141"/>
      <c r="B218" s="224"/>
    </row>
    <row r="219" spans="1:2">
      <c r="A219" s="141"/>
      <c r="B219" s="224"/>
    </row>
    <row r="220" spans="1:2">
      <c r="A220" s="140">
        <v>74</v>
      </c>
      <c r="B220" s="251" t="s">
        <v>99</v>
      </c>
    </row>
    <row r="221" spans="1:2">
      <c r="A221" s="141"/>
      <c r="B221" s="252"/>
    </row>
    <row r="222" spans="1:2">
      <c r="A222" s="141"/>
      <c r="B222" s="253"/>
    </row>
    <row r="223" spans="1:2">
      <c r="A223" s="142">
        <v>75</v>
      </c>
      <c r="B223" s="254" t="s">
        <v>127</v>
      </c>
    </row>
    <row r="224" spans="1:2">
      <c r="A224" s="141"/>
      <c r="B224" s="255"/>
    </row>
    <row r="225" spans="1:2">
      <c r="A225" s="141"/>
      <c r="B225" s="256"/>
    </row>
    <row r="226" spans="1:2">
      <c r="A226" s="246">
        <v>76</v>
      </c>
      <c r="B226" s="224" t="s">
        <v>84</v>
      </c>
    </row>
    <row r="227" spans="1:2">
      <c r="A227" s="247"/>
      <c r="B227" s="224"/>
    </row>
    <row r="228" spans="1:2">
      <c r="A228" s="248"/>
      <c r="B228" s="224"/>
    </row>
    <row r="229" spans="1:2">
      <c r="A229" s="246">
        <v>77</v>
      </c>
      <c r="B229" s="224" t="s">
        <v>84</v>
      </c>
    </row>
    <row r="230" spans="1:2">
      <c r="A230" s="247"/>
      <c r="B230" s="224"/>
    </row>
    <row r="231" spans="1:2">
      <c r="A231" s="248"/>
      <c r="B231" s="224"/>
    </row>
    <row r="232" spans="1:2">
      <c r="A232" s="246">
        <v>78</v>
      </c>
      <c r="B232" s="249" t="s">
        <v>128</v>
      </c>
    </row>
    <row r="233" spans="1:2">
      <c r="A233" s="247"/>
      <c r="B233" s="250"/>
    </row>
    <row r="234" spans="1:2">
      <c r="A234" s="248"/>
      <c r="B234" s="250"/>
    </row>
    <row r="235" spans="1:2">
      <c r="A235" s="246">
        <v>79</v>
      </c>
      <c r="B235" s="249" t="s">
        <v>82</v>
      </c>
    </row>
    <row r="236" spans="1:2">
      <c r="A236" s="247"/>
      <c r="B236" s="250"/>
    </row>
    <row r="237" spans="1:2">
      <c r="A237" s="248"/>
      <c r="B237" s="250"/>
    </row>
    <row r="238" spans="1:2">
      <c r="A238" s="246">
        <v>80</v>
      </c>
      <c r="B238" s="224" t="s">
        <v>128</v>
      </c>
    </row>
    <row r="239" spans="1:2">
      <c r="A239" s="247"/>
      <c r="B239" s="224"/>
    </row>
    <row r="240" spans="1:2">
      <c r="A240" s="248"/>
      <c r="B240" s="224"/>
    </row>
    <row r="241" spans="1:2">
      <c r="A241" s="137">
        <v>81</v>
      </c>
      <c r="B241" s="224" t="s">
        <v>129</v>
      </c>
    </row>
    <row r="242" spans="1:2">
      <c r="A242" s="261"/>
      <c r="B242" s="224"/>
    </row>
    <row r="243" spans="1:2">
      <c r="A243" s="262"/>
      <c r="B243" s="224"/>
    </row>
    <row r="244" spans="1:2">
      <c r="A244" s="257" t="s">
        <v>266</v>
      </c>
      <c r="B244" s="225" t="s">
        <v>131</v>
      </c>
    </row>
    <row r="245" spans="1:2">
      <c r="A245" s="258"/>
      <c r="B245" s="225"/>
    </row>
    <row r="246" spans="1:2">
      <c r="A246" s="259"/>
      <c r="B246" s="225"/>
    </row>
    <row r="247" spans="1:2">
      <c r="A247" s="260">
        <v>83</v>
      </c>
      <c r="B247" s="225" t="s">
        <v>130</v>
      </c>
    </row>
    <row r="248" spans="1:2">
      <c r="A248" s="261"/>
      <c r="B248" s="225"/>
    </row>
    <row r="249" spans="1:2">
      <c r="A249" s="262"/>
      <c r="B249" s="225"/>
    </row>
    <row r="250" spans="1:2">
      <c r="A250" s="137">
        <v>84</v>
      </c>
      <c r="B250" s="225" t="s">
        <v>130</v>
      </c>
    </row>
    <row r="251" spans="1:2">
      <c r="A251" s="261"/>
      <c r="B251" s="225"/>
    </row>
    <row r="252" spans="1:2">
      <c r="A252" s="262"/>
      <c r="B252" s="225"/>
    </row>
    <row r="253" spans="1:2">
      <c r="A253" s="260">
        <v>85</v>
      </c>
      <c r="B253" s="263" t="s">
        <v>81</v>
      </c>
    </row>
    <row r="254" spans="1:2">
      <c r="A254" s="261"/>
      <c r="B254" s="263"/>
    </row>
    <row r="255" spans="1:2">
      <c r="A255" s="262"/>
      <c r="B255" s="263"/>
    </row>
    <row r="256" spans="1:2">
      <c r="A256" s="246">
        <v>86</v>
      </c>
      <c r="B256" s="225" t="s">
        <v>81</v>
      </c>
    </row>
    <row r="257" spans="1:2">
      <c r="A257" s="247"/>
      <c r="B257" s="224"/>
    </row>
    <row r="258" spans="1:2">
      <c r="A258" s="248"/>
      <c r="B258" s="224"/>
    </row>
    <row r="259" spans="1:2">
      <c r="A259" s="137">
        <v>87</v>
      </c>
      <c r="B259" s="225" t="s">
        <v>81</v>
      </c>
    </row>
    <row r="260" spans="1:2">
      <c r="A260" s="261"/>
      <c r="B260" s="224"/>
    </row>
    <row r="261" spans="1:2">
      <c r="A261" s="262"/>
      <c r="B261" s="224"/>
    </row>
    <row r="262" spans="1:2">
      <c r="A262" s="137">
        <v>88</v>
      </c>
      <c r="B262" s="239" t="s">
        <v>142</v>
      </c>
    </row>
    <row r="263" spans="1:2">
      <c r="A263" s="261"/>
      <c r="B263" s="239"/>
    </row>
    <row r="264" spans="1:2">
      <c r="A264" s="262"/>
      <c r="B264" s="239"/>
    </row>
    <row r="265" spans="1:2">
      <c r="A265" s="137">
        <v>89</v>
      </c>
      <c r="B265" s="239" t="s">
        <v>142</v>
      </c>
    </row>
    <row r="266" spans="1:2">
      <c r="A266" s="261"/>
      <c r="B266" s="239"/>
    </row>
    <row r="267" spans="1:2">
      <c r="A267" s="262"/>
      <c r="B267" s="239"/>
    </row>
    <row r="268" spans="1:2">
      <c r="A268" s="260">
        <v>90</v>
      </c>
      <c r="B268" s="239" t="s">
        <v>142</v>
      </c>
    </row>
    <row r="269" spans="1:2">
      <c r="A269" s="261"/>
      <c r="B269" s="239"/>
    </row>
    <row r="270" spans="1:2">
      <c r="A270" s="262"/>
      <c r="B270" s="239"/>
    </row>
    <row r="271" spans="1:2">
      <c r="A271" s="137">
        <v>91</v>
      </c>
      <c r="B271" s="239" t="s">
        <v>142</v>
      </c>
    </row>
    <row r="272" spans="1:2">
      <c r="A272" s="261"/>
      <c r="B272" s="239"/>
    </row>
    <row r="273" spans="1:2">
      <c r="A273" s="262"/>
      <c r="B273" s="239"/>
    </row>
    <row r="274" spans="1:2">
      <c r="A274" s="260">
        <v>92</v>
      </c>
      <c r="B274" s="249" t="s">
        <v>132</v>
      </c>
    </row>
    <row r="275" spans="1:2">
      <c r="A275" s="261"/>
      <c r="B275" s="224"/>
    </row>
    <row r="276" spans="1:2">
      <c r="A276" s="262"/>
      <c r="B276" s="224"/>
    </row>
    <row r="277" spans="1:2">
      <c r="A277" s="137">
        <v>93</v>
      </c>
      <c r="B277" s="223" t="s">
        <v>132</v>
      </c>
    </row>
    <row r="278" spans="1:2">
      <c r="A278" s="261"/>
      <c r="B278" s="224"/>
    </row>
    <row r="279" spans="1:2">
      <c r="A279" s="262"/>
      <c r="B279" s="224"/>
    </row>
    <row r="280" spans="1:2">
      <c r="A280" s="260">
        <v>94</v>
      </c>
      <c r="B280" s="225" t="s">
        <v>133</v>
      </c>
    </row>
    <row r="281" spans="1:2">
      <c r="A281" s="261"/>
      <c r="B281" s="224"/>
    </row>
    <row r="282" spans="1:2">
      <c r="A282" s="262"/>
      <c r="B282" s="224"/>
    </row>
    <row r="283" spans="1:2">
      <c r="A283" s="260">
        <v>95</v>
      </c>
      <c r="B283" s="225" t="s">
        <v>134</v>
      </c>
    </row>
    <row r="284" spans="1:2">
      <c r="A284" s="261"/>
      <c r="B284" s="224"/>
    </row>
    <row r="285" spans="1:2">
      <c r="A285" s="262"/>
      <c r="B285" s="224"/>
    </row>
    <row r="286" spans="1:2">
      <c r="A286" s="137">
        <v>96</v>
      </c>
      <c r="B286" s="225" t="s">
        <v>134</v>
      </c>
    </row>
    <row r="287" spans="1:2">
      <c r="A287" s="261"/>
      <c r="B287" s="225"/>
    </row>
    <row r="288" spans="1:2">
      <c r="A288" s="262"/>
      <c r="B288" s="225"/>
    </row>
    <row r="289" spans="1:2">
      <c r="A289" s="260">
        <v>97</v>
      </c>
      <c r="B289" s="242" t="s">
        <v>135</v>
      </c>
    </row>
    <row r="290" spans="1:2">
      <c r="A290" s="261"/>
      <c r="B290" s="242"/>
    </row>
    <row r="291" spans="1:2">
      <c r="A291" s="262"/>
      <c r="B291" s="242"/>
    </row>
    <row r="292" spans="1:2">
      <c r="A292" s="260">
        <v>98</v>
      </c>
      <c r="B292" s="225" t="s">
        <v>137</v>
      </c>
    </row>
    <row r="293" spans="1:2">
      <c r="A293" s="261"/>
      <c r="B293" s="224"/>
    </row>
    <row r="294" spans="1:2">
      <c r="A294" s="262"/>
      <c r="B294" s="224"/>
    </row>
    <row r="295" spans="1:2">
      <c r="A295" s="260">
        <v>99</v>
      </c>
      <c r="B295" s="225" t="s">
        <v>138</v>
      </c>
    </row>
    <row r="296" spans="1:2">
      <c r="A296" s="261"/>
      <c r="B296" s="225"/>
    </row>
    <row r="297" spans="1:2">
      <c r="A297" s="262"/>
      <c r="B297" s="225"/>
    </row>
    <row r="298" spans="1:2">
      <c r="A298" s="260">
        <v>100</v>
      </c>
      <c r="B298" s="264" t="s">
        <v>144</v>
      </c>
    </row>
    <row r="299" spans="1:2">
      <c r="A299" s="261"/>
      <c r="B299" s="265"/>
    </row>
    <row r="300" spans="1:2">
      <c r="A300" s="262"/>
      <c r="B300" s="266"/>
    </row>
    <row r="301" spans="1:2">
      <c r="A301" s="137">
        <v>101</v>
      </c>
      <c r="B301" s="230" t="s">
        <v>146</v>
      </c>
    </row>
    <row r="302" spans="1:2">
      <c r="A302" s="138"/>
      <c r="B302" s="231"/>
    </row>
    <row r="303" spans="1:2">
      <c r="A303" s="139"/>
      <c r="B303" s="232"/>
    </row>
    <row r="304" spans="1:2">
      <c r="A304" s="137">
        <v>102</v>
      </c>
      <c r="B304" s="267" t="s">
        <v>144</v>
      </c>
    </row>
    <row r="305" spans="1:2">
      <c r="A305" s="261"/>
      <c r="B305" s="268"/>
    </row>
    <row r="306" spans="1:2">
      <c r="A306" s="262"/>
      <c r="B306" s="269"/>
    </row>
    <row r="307" spans="1:2">
      <c r="A307" s="137">
        <v>103</v>
      </c>
      <c r="B307" s="230" t="s">
        <v>147</v>
      </c>
    </row>
    <row r="308" spans="1:2">
      <c r="A308" s="138"/>
      <c r="B308" s="231"/>
    </row>
    <row r="309" spans="1:2">
      <c r="A309" s="139"/>
      <c r="B309" s="232"/>
    </row>
    <row r="310" spans="1:2">
      <c r="A310" s="137">
        <v>104</v>
      </c>
      <c r="B310" s="251" t="s">
        <v>148</v>
      </c>
    </row>
    <row r="311" spans="1:2">
      <c r="A311" s="261"/>
      <c r="B311" s="252"/>
    </row>
    <row r="312" spans="1:2">
      <c r="A312" s="262"/>
      <c r="B312" s="253"/>
    </row>
    <row r="313" spans="1:2">
      <c r="A313" s="137">
        <v>105</v>
      </c>
      <c r="B313" s="251" t="s">
        <v>149</v>
      </c>
    </row>
    <row r="314" spans="1:2">
      <c r="A314" s="138"/>
      <c r="B314" s="252"/>
    </row>
    <row r="315" spans="1:2">
      <c r="A315" s="139"/>
      <c r="B315" s="253"/>
    </row>
    <row r="316" spans="1:2">
      <c r="A316" s="137">
        <v>106</v>
      </c>
      <c r="B316" s="251" t="s">
        <v>150</v>
      </c>
    </row>
    <row r="317" spans="1:2">
      <c r="A317" s="138"/>
      <c r="B317" s="252"/>
    </row>
    <row r="318" spans="1:2">
      <c r="A318" s="139"/>
      <c r="B318" s="253"/>
    </row>
    <row r="319" spans="1:2">
      <c r="A319" s="137">
        <v>107</v>
      </c>
      <c r="B319" s="251" t="s">
        <v>151</v>
      </c>
    </row>
    <row r="320" spans="1:2">
      <c r="A320" s="138"/>
      <c r="B320" s="252"/>
    </row>
    <row r="321" spans="1:2">
      <c r="A321" s="139"/>
      <c r="B321" s="253"/>
    </row>
    <row r="322" spans="1:2">
      <c r="A322" s="137">
        <v>108</v>
      </c>
      <c r="B322" s="251" t="s">
        <v>153</v>
      </c>
    </row>
    <row r="323" spans="1:2">
      <c r="A323" s="138"/>
      <c r="B323" s="252"/>
    </row>
    <row r="324" spans="1:2">
      <c r="A324" s="139"/>
      <c r="B324" s="253"/>
    </row>
    <row r="325" spans="1:2">
      <c r="A325" s="137">
        <v>109</v>
      </c>
      <c r="B325" s="251" t="s">
        <v>152</v>
      </c>
    </row>
    <row r="326" spans="1:2">
      <c r="A326" s="138"/>
      <c r="B326" s="252"/>
    </row>
    <row r="327" spans="1:2">
      <c r="A327" s="139"/>
      <c r="B327" s="253"/>
    </row>
    <row r="328" spans="1:2">
      <c r="A328" s="137">
        <v>110</v>
      </c>
      <c r="B328" s="230" t="s">
        <v>154</v>
      </c>
    </row>
    <row r="329" spans="1:2">
      <c r="A329" s="261"/>
      <c r="B329" s="231"/>
    </row>
    <row r="330" spans="1:2">
      <c r="A330" s="262"/>
      <c r="B330" s="232"/>
    </row>
    <row r="331" spans="1:2">
      <c r="A331" s="137">
        <v>111</v>
      </c>
      <c r="B331" s="230" t="s">
        <v>154</v>
      </c>
    </row>
    <row r="332" spans="1:2">
      <c r="A332" s="138"/>
      <c r="B332" s="231"/>
    </row>
    <row r="333" spans="1:2">
      <c r="A333" s="139"/>
      <c r="B333" s="232"/>
    </row>
    <row r="334" spans="1:2">
      <c r="A334" s="137">
        <v>112</v>
      </c>
      <c r="B334" s="230" t="s">
        <v>166</v>
      </c>
    </row>
    <row r="335" spans="1:2">
      <c r="A335" s="138"/>
      <c r="B335" s="231"/>
    </row>
    <row r="336" spans="1:2">
      <c r="A336" s="139"/>
      <c r="B336" s="232"/>
    </row>
    <row r="337" spans="1:2">
      <c r="A337" s="137">
        <v>113</v>
      </c>
      <c r="B337" s="230" t="s">
        <v>155</v>
      </c>
    </row>
    <row r="338" spans="1:2">
      <c r="A338" s="138"/>
      <c r="B338" s="231"/>
    </row>
    <row r="339" spans="1:2">
      <c r="A339" s="139"/>
      <c r="B339" s="232"/>
    </row>
    <row r="340" spans="1:2">
      <c r="A340" s="137">
        <v>114</v>
      </c>
      <c r="B340" s="225" t="s">
        <v>156</v>
      </c>
    </row>
    <row r="341" spans="1:2">
      <c r="A341" s="261"/>
      <c r="B341" s="225"/>
    </row>
    <row r="342" spans="1:2">
      <c r="A342" s="262"/>
      <c r="B342" s="225"/>
    </row>
    <row r="343" spans="1:2">
      <c r="A343" s="137">
        <v>115</v>
      </c>
      <c r="B343" s="239" t="s">
        <v>122</v>
      </c>
    </row>
    <row r="344" spans="1:2">
      <c r="A344" s="261"/>
      <c r="B344" s="239"/>
    </row>
    <row r="345" spans="1:2">
      <c r="A345" s="262"/>
      <c r="B345" s="239"/>
    </row>
    <row r="346" spans="1:2">
      <c r="A346" s="246">
        <v>116</v>
      </c>
      <c r="B346" s="223" t="s">
        <v>99</v>
      </c>
    </row>
    <row r="347" spans="1:2">
      <c r="A347" s="247"/>
      <c r="B347" s="224"/>
    </row>
    <row r="348" spans="1:2">
      <c r="A348" s="248"/>
      <c r="B348" s="224"/>
    </row>
    <row r="349" spans="1:2">
      <c r="A349" s="246">
        <v>117</v>
      </c>
      <c r="B349" s="223" t="s">
        <v>99</v>
      </c>
    </row>
    <row r="350" spans="1:2">
      <c r="A350" s="247"/>
      <c r="B350" s="224"/>
    </row>
    <row r="351" spans="1:2">
      <c r="A351" s="248"/>
      <c r="B351" s="224"/>
    </row>
    <row r="352" spans="1:2">
      <c r="A352" s="246">
        <v>118</v>
      </c>
      <c r="B352" s="223" t="s">
        <v>99</v>
      </c>
    </row>
    <row r="353" spans="1:2">
      <c r="A353" s="247"/>
      <c r="B353" s="224"/>
    </row>
    <row r="354" spans="1:2">
      <c r="A354" s="248"/>
      <c r="B354" s="224"/>
    </row>
    <row r="355" spans="1:2">
      <c r="A355" s="260">
        <v>119</v>
      </c>
      <c r="B355" s="223" t="s">
        <v>139</v>
      </c>
    </row>
    <row r="356" spans="1:2">
      <c r="A356" s="261"/>
      <c r="B356" s="224"/>
    </row>
    <row r="357" spans="1:2">
      <c r="A357" s="262"/>
      <c r="B357" s="224"/>
    </row>
    <row r="358" spans="1:2">
      <c r="A358" s="260">
        <v>120</v>
      </c>
      <c r="B358" s="270" t="s">
        <v>139</v>
      </c>
    </row>
    <row r="359" spans="1:2">
      <c r="A359" s="261"/>
      <c r="B359" s="271"/>
    </row>
    <row r="360" spans="1:2">
      <c r="A360" s="262"/>
      <c r="B360" s="271"/>
    </row>
    <row r="361" spans="1:2">
      <c r="A361" s="260">
        <v>121</v>
      </c>
      <c r="B361" s="223" t="s">
        <v>158</v>
      </c>
    </row>
    <row r="362" spans="1:2">
      <c r="A362" s="261"/>
      <c r="B362" s="223"/>
    </row>
    <row r="363" spans="1:2">
      <c r="A363" s="262"/>
      <c r="B363" s="223"/>
    </row>
    <row r="364" spans="1:2">
      <c r="A364" s="272">
        <v>122</v>
      </c>
      <c r="B364" s="223" t="s">
        <v>158</v>
      </c>
    </row>
    <row r="365" spans="1:2">
      <c r="A365" s="273"/>
      <c r="B365" s="223"/>
    </row>
    <row r="366" spans="1:2">
      <c r="A366" s="274"/>
      <c r="B366" s="223"/>
    </row>
    <row r="367" spans="1:2">
      <c r="A367" s="260">
        <v>123</v>
      </c>
      <c r="B367" s="223" t="s">
        <v>158</v>
      </c>
    </row>
    <row r="368" spans="1:2">
      <c r="A368" s="261"/>
      <c r="B368" s="223"/>
    </row>
    <row r="369" spans="1:2">
      <c r="A369" s="262"/>
      <c r="B369" s="223"/>
    </row>
    <row r="370" spans="1:2">
      <c r="A370" s="272">
        <v>124</v>
      </c>
      <c r="B370" s="225" t="s">
        <v>99</v>
      </c>
    </row>
    <row r="371" spans="1:2">
      <c r="A371" s="273"/>
      <c r="B371" s="225"/>
    </row>
    <row r="372" spans="1:2">
      <c r="A372" s="274"/>
      <c r="B372" s="225"/>
    </row>
    <row r="373" spans="1:2">
      <c r="A373" s="275">
        <v>125</v>
      </c>
      <c r="B373" s="230" t="s">
        <v>159</v>
      </c>
    </row>
    <row r="374" spans="1:2">
      <c r="A374" s="258"/>
      <c r="B374" s="231"/>
    </row>
    <row r="375" spans="1:2">
      <c r="A375" s="259"/>
      <c r="B375" s="232"/>
    </row>
    <row r="376" spans="1:2">
      <c r="A376" s="275">
        <v>126</v>
      </c>
      <c r="B376" s="230" t="s">
        <v>160</v>
      </c>
    </row>
    <row r="377" spans="1:2">
      <c r="A377" s="258"/>
      <c r="B377" s="231"/>
    </row>
    <row r="378" spans="1:2">
      <c r="A378" s="259"/>
      <c r="B378" s="232"/>
    </row>
  </sheetData>
  <mergeCells count="252">
    <mergeCell ref="A370:A372"/>
    <mergeCell ref="B370:B372"/>
    <mergeCell ref="A373:A375"/>
    <mergeCell ref="B373:B375"/>
    <mergeCell ref="A376:A378"/>
    <mergeCell ref="B376:B378"/>
    <mergeCell ref="A361:A363"/>
    <mergeCell ref="B361:B363"/>
    <mergeCell ref="A364:A366"/>
    <mergeCell ref="B364:B366"/>
    <mergeCell ref="A367:A369"/>
    <mergeCell ref="B367:B369"/>
    <mergeCell ref="A352:A354"/>
    <mergeCell ref="B352:B354"/>
    <mergeCell ref="A355:A357"/>
    <mergeCell ref="B355:B357"/>
    <mergeCell ref="A358:A360"/>
    <mergeCell ref="B358:B360"/>
    <mergeCell ref="A343:A345"/>
    <mergeCell ref="B343:B345"/>
    <mergeCell ref="A346:A348"/>
    <mergeCell ref="B346:B348"/>
    <mergeCell ref="A349:A351"/>
    <mergeCell ref="B349:B351"/>
    <mergeCell ref="A334:A336"/>
    <mergeCell ref="B334:B336"/>
    <mergeCell ref="A337:A339"/>
    <mergeCell ref="B337:B339"/>
    <mergeCell ref="A340:A342"/>
    <mergeCell ref="B340:B342"/>
    <mergeCell ref="A325:A327"/>
    <mergeCell ref="B325:B327"/>
    <mergeCell ref="A328:A330"/>
    <mergeCell ref="B328:B330"/>
    <mergeCell ref="A331:A333"/>
    <mergeCell ref="B331:B333"/>
    <mergeCell ref="A316:A318"/>
    <mergeCell ref="B316:B318"/>
    <mergeCell ref="A319:A321"/>
    <mergeCell ref="B319:B321"/>
    <mergeCell ref="A322:A324"/>
    <mergeCell ref="B322:B324"/>
    <mergeCell ref="A307:A309"/>
    <mergeCell ref="B307:B309"/>
    <mergeCell ref="A310:A312"/>
    <mergeCell ref="B310:B312"/>
    <mergeCell ref="A313:A315"/>
    <mergeCell ref="B313:B315"/>
    <mergeCell ref="A298:A300"/>
    <mergeCell ref="B298:B300"/>
    <mergeCell ref="A301:A303"/>
    <mergeCell ref="B301:B303"/>
    <mergeCell ref="A304:A306"/>
    <mergeCell ref="B304:B306"/>
    <mergeCell ref="A289:A291"/>
    <mergeCell ref="B289:B291"/>
    <mergeCell ref="A292:A294"/>
    <mergeCell ref="B292:B294"/>
    <mergeCell ref="A295:A297"/>
    <mergeCell ref="B295:B297"/>
    <mergeCell ref="A280:A282"/>
    <mergeCell ref="B280:B282"/>
    <mergeCell ref="A283:A285"/>
    <mergeCell ref="B283:B285"/>
    <mergeCell ref="A286:A288"/>
    <mergeCell ref="B286:B288"/>
    <mergeCell ref="A271:A273"/>
    <mergeCell ref="B271:B273"/>
    <mergeCell ref="A274:A276"/>
    <mergeCell ref="B274:B276"/>
    <mergeCell ref="A277:A279"/>
    <mergeCell ref="B277:B279"/>
    <mergeCell ref="A262:A264"/>
    <mergeCell ref="B262:B264"/>
    <mergeCell ref="A265:A267"/>
    <mergeCell ref="B265:B267"/>
    <mergeCell ref="A268:A270"/>
    <mergeCell ref="B268:B270"/>
    <mergeCell ref="A253:A255"/>
    <mergeCell ref="B253:B255"/>
    <mergeCell ref="A256:A258"/>
    <mergeCell ref="B256:B258"/>
    <mergeCell ref="A259:A261"/>
    <mergeCell ref="B259:B261"/>
    <mergeCell ref="A244:A246"/>
    <mergeCell ref="B244:B246"/>
    <mergeCell ref="A247:A249"/>
    <mergeCell ref="B247:B249"/>
    <mergeCell ref="A250:A252"/>
    <mergeCell ref="B250:B252"/>
    <mergeCell ref="A235:A237"/>
    <mergeCell ref="B235:B237"/>
    <mergeCell ref="A238:A240"/>
    <mergeCell ref="B238:B240"/>
    <mergeCell ref="A241:A243"/>
    <mergeCell ref="B241:B243"/>
    <mergeCell ref="A226:A228"/>
    <mergeCell ref="B226:B228"/>
    <mergeCell ref="A229:A231"/>
    <mergeCell ref="B229:B231"/>
    <mergeCell ref="A232:A234"/>
    <mergeCell ref="B232:B234"/>
    <mergeCell ref="A217:A219"/>
    <mergeCell ref="B217:B219"/>
    <mergeCell ref="A220:A222"/>
    <mergeCell ref="B220:B222"/>
    <mergeCell ref="A223:A225"/>
    <mergeCell ref="B223:B225"/>
    <mergeCell ref="A208:A210"/>
    <mergeCell ref="B208:B210"/>
    <mergeCell ref="A211:A213"/>
    <mergeCell ref="B211:B213"/>
    <mergeCell ref="A214:A216"/>
    <mergeCell ref="B214:B216"/>
    <mergeCell ref="A199:A201"/>
    <mergeCell ref="B199:B201"/>
    <mergeCell ref="A202:A204"/>
    <mergeCell ref="B202:B204"/>
    <mergeCell ref="A205:A207"/>
    <mergeCell ref="B205:B207"/>
    <mergeCell ref="A190:A192"/>
    <mergeCell ref="B190:B192"/>
    <mergeCell ref="A193:A195"/>
    <mergeCell ref="B193:B195"/>
    <mergeCell ref="A196:A198"/>
    <mergeCell ref="B196:B198"/>
    <mergeCell ref="A181:A183"/>
    <mergeCell ref="B181:B183"/>
    <mergeCell ref="A184:A186"/>
    <mergeCell ref="B184:B186"/>
    <mergeCell ref="A187:A189"/>
    <mergeCell ref="B187:B189"/>
    <mergeCell ref="A172:A174"/>
    <mergeCell ref="B172:B174"/>
    <mergeCell ref="A175:A177"/>
    <mergeCell ref="B175:B177"/>
    <mergeCell ref="A178:A180"/>
    <mergeCell ref="B178:B180"/>
    <mergeCell ref="A163:A165"/>
    <mergeCell ref="B163:B165"/>
    <mergeCell ref="A166:A168"/>
    <mergeCell ref="B166:B168"/>
    <mergeCell ref="A169:A171"/>
    <mergeCell ref="B169:B171"/>
    <mergeCell ref="A154:A156"/>
    <mergeCell ref="B154:B156"/>
    <mergeCell ref="A157:A159"/>
    <mergeCell ref="B157:B159"/>
    <mergeCell ref="A160:A162"/>
    <mergeCell ref="B160:B162"/>
    <mergeCell ref="A145:A147"/>
    <mergeCell ref="B145:B147"/>
    <mergeCell ref="A148:A150"/>
    <mergeCell ref="B148:B150"/>
    <mergeCell ref="A151:A153"/>
    <mergeCell ref="B151:B153"/>
    <mergeCell ref="A136:A138"/>
    <mergeCell ref="B136:B138"/>
    <mergeCell ref="A139:A141"/>
    <mergeCell ref="B139:B141"/>
    <mergeCell ref="A142:A144"/>
    <mergeCell ref="B142:B144"/>
    <mergeCell ref="A127:A129"/>
    <mergeCell ref="B127:B129"/>
    <mergeCell ref="A130:A132"/>
    <mergeCell ref="B130:B132"/>
    <mergeCell ref="A133:A135"/>
    <mergeCell ref="B133:B135"/>
    <mergeCell ref="A118:A120"/>
    <mergeCell ref="B118:B120"/>
    <mergeCell ref="A121:A123"/>
    <mergeCell ref="B121:B123"/>
    <mergeCell ref="A124:A126"/>
    <mergeCell ref="B124:B126"/>
    <mergeCell ref="A109:A111"/>
    <mergeCell ref="B109:B111"/>
    <mergeCell ref="A112:A114"/>
    <mergeCell ref="B112:B114"/>
    <mergeCell ref="A115:A117"/>
    <mergeCell ref="B115:B117"/>
    <mergeCell ref="A100:A102"/>
    <mergeCell ref="B100:B102"/>
    <mergeCell ref="A103:A105"/>
    <mergeCell ref="B103:B105"/>
    <mergeCell ref="A106:A108"/>
    <mergeCell ref="B106:B108"/>
    <mergeCell ref="A91:A93"/>
    <mergeCell ref="B91:B93"/>
    <mergeCell ref="A94:A96"/>
    <mergeCell ref="B94:B96"/>
    <mergeCell ref="A97:A99"/>
    <mergeCell ref="B97:B99"/>
    <mergeCell ref="A82:A84"/>
    <mergeCell ref="B82:B84"/>
    <mergeCell ref="A85:A87"/>
    <mergeCell ref="B85:B87"/>
    <mergeCell ref="A88:A90"/>
    <mergeCell ref="B88:B90"/>
    <mergeCell ref="A73:A75"/>
    <mergeCell ref="B73:B75"/>
    <mergeCell ref="A76:A78"/>
    <mergeCell ref="B76:B78"/>
    <mergeCell ref="A79:A81"/>
    <mergeCell ref="B79:B81"/>
    <mergeCell ref="A64:A66"/>
    <mergeCell ref="B64:B66"/>
    <mergeCell ref="A67:A69"/>
    <mergeCell ref="B67:B69"/>
    <mergeCell ref="A70:A72"/>
    <mergeCell ref="B70:B72"/>
    <mergeCell ref="A55:A57"/>
    <mergeCell ref="B55:B57"/>
    <mergeCell ref="A58:A60"/>
    <mergeCell ref="B58:B60"/>
    <mergeCell ref="A61:A63"/>
    <mergeCell ref="B61:B63"/>
    <mergeCell ref="A46:A48"/>
    <mergeCell ref="B46:B48"/>
    <mergeCell ref="A49:A51"/>
    <mergeCell ref="B49:B51"/>
    <mergeCell ref="A52:A54"/>
    <mergeCell ref="B52:B54"/>
    <mergeCell ref="A37:A39"/>
    <mergeCell ref="B37:B39"/>
    <mergeCell ref="A40:A42"/>
    <mergeCell ref="B40:B42"/>
    <mergeCell ref="A43:A45"/>
    <mergeCell ref="B43:B45"/>
    <mergeCell ref="A28:A30"/>
    <mergeCell ref="B28:B30"/>
    <mergeCell ref="A31:A33"/>
    <mergeCell ref="B31:B33"/>
    <mergeCell ref="A34:A36"/>
    <mergeCell ref="B34:B36"/>
    <mergeCell ref="A19:A21"/>
    <mergeCell ref="B19:B21"/>
    <mergeCell ref="A22:A24"/>
    <mergeCell ref="B22:B24"/>
    <mergeCell ref="A25:A27"/>
    <mergeCell ref="B25:B27"/>
    <mergeCell ref="A10:A12"/>
    <mergeCell ref="B10:B12"/>
    <mergeCell ref="A13:A15"/>
    <mergeCell ref="B13:B15"/>
    <mergeCell ref="A16:A18"/>
    <mergeCell ref="B16:B18"/>
    <mergeCell ref="A1:A3"/>
    <mergeCell ref="B1:B3"/>
    <mergeCell ref="A4:A6"/>
    <mergeCell ref="B4:B6"/>
    <mergeCell ref="A7:A9"/>
    <mergeCell ref="B7:B9"/>
  </mergeCells>
  <phoneticPr fontId="1" type="noConversion"/>
  <pageMargins left="0.7" right="0.7" top="0.75" bottom="0.75" header="0.3" footer="0.3"/>
  <pageSetup paperSize="9" orientation="portrait" horizontalDpi="3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pageSetUpPr fitToPage="1"/>
  </sheetPr>
  <dimension ref="A1:W4"/>
  <sheetViews>
    <sheetView tabSelected="1" view="pageBreakPreview" zoomScaleNormal="100" zoomScaleSheetLayoutView="100" workbookViewId="0">
      <selection activeCell="C6" sqref="C6"/>
    </sheetView>
  </sheetViews>
  <sheetFormatPr defaultColWidth="9" defaultRowHeight="10.15"/>
  <cols>
    <col min="1" max="1" width="4.125" style="62" bestFit="1" customWidth="1"/>
    <col min="2" max="2" width="13.875" style="62" customWidth="1"/>
    <col min="3" max="3" width="27.5" style="62" customWidth="1"/>
    <col min="4" max="4" width="11.125" style="62" customWidth="1"/>
    <col min="5" max="5" width="39.1875" style="62" customWidth="1"/>
    <col min="6" max="6" width="22.125" style="62" customWidth="1"/>
    <col min="7" max="7" width="12.125" style="62" customWidth="1"/>
    <col min="8" max="10" width="5.1875" style="62" customWidth="1"/>
    <col min="11" max="11" width="9.875" style="68" customWidth="1"/>
    <col min="12" max="12" width="18.125" style="62" customWidth="1"/>
    <col min="13" max="13" width="40.6875" style="70" customWidth="1"/>
    <col min="14" max="14" width="21" style="63" customWidth="1"/>
    <col min="15" max="15" width="24.625" style="63" customWidth="1"/>
    <col min="16" max="16" width="6.625" style="62" customWidth="1"/>
    <col min="17" max="17" width="8.625" style="62" customWidth="1"/>
    <col min="18" max="18" width="9" style="62" customWidth="1"/>
    <col min="19" max="19" width="12" style="62" customWidth="1"/>
    <col min="20" max="20" width="23.125" style="64" bestFit="1" customWidth="1"/>
    <col min="21" max="21" width="10.875" style="62" customWidth="1"/>
    <col min="22" max="22" width="9" style="62"/>
    <col min="23" max="23" width="10.625" style="62" customWidth="1"/>
    <col min="24" max="16384" width="9" style="62"/>
  </cols>
  <sheetData>
    <row r="1" spans="1:23" s="65" customFormat="1" ht="19.350000000000001" customHeight="1">
      <c r="A1" s="82" t="s">
        <v>1050</v>
      </c>
      <c r="B1" s="81" t="s">
        <v>1062</v>
      </c>
      <c r="C1" s="81"/>
      <c r="D1" s="81"/>
      <c r="E1" s="81"/>
      <c r="F1" s="81"/>
      <c r="G1" s="71" t="s">
        <v>1063</v>
      </c>
      <c r="H1" s="72"/>
      <c r="I1" s="72"/>
      <c r="J1" s="73"/>
      <c r="K1" s="83" t="s">
        <v>1064</v>
      </c>
      <c r="L1" s="71" t="s">
        <v>1065</v>
      </c>
      <c r="M1" s="72"/>
      <c r="N1" s="72"/>
      <c r="O1" s="73"/>
      <c r="P1" s="71" t="s">
        <v>1068</v>
      </c>
      <c r="Q1" s="72"/>
      <c r="R1" s="72"/>
      <c r="S1" s="72"/>
      <c r="T1" s="73"/>
      <c r="U1" s="74" t="s">
        <v>1069</v>
      </c>
      <c r="V1" s="74" t="s">
        <v>1070</v>
      </c>
      <c r="W1" s="74" t="s">
        <v>1071</v>
      </c>
    </row>
    <row r="2" spans="1:23" ht="22.9" customHeight="1">
      <c r="A2" s="82"/>
      <c r="B2" s="81" t="s">
        <v>1051</v>
      </c>
      <c r="C2" s="81" t="s">
        <v>1058</v>
      </c>
      <c r="D2" s="81" t="s">
        <v>809</v>
      </c>
      <c r="E2" s="81" t="s">
        <v>1052</v>
      </c>
      <c r="F2" s="81" t="s">
        <v>1053</v>
      </c>
      <c r="G2" s="81" t="s">
        <v>1054</v>
      </c>
      <c r="H2" s="81" t="s">
        <v>1055</v>
      </c>
      <c r="I2" s="81"/>
      <c r="J2" s="81"/>
      <c r="K2" s="83"/>
      <c r="L2" s="77" t="s">
        <v>1066</v>
      </c>
      <c r="M2" s="78"/>
      <c r="N2" s="71" t="s">
        <v>1067</v>
      </c>
      <c r="O2" s="73"/>
      <c r="P2" s="71" t="s">
        <v>1072</v>
      </c>
      <c r="Q2" s="72"/>
      <c r="R2" s="73"/>
      <c r="S2" s="74" t="s">
        <v>1056</v>
      </c>
      <c r="T2" s="74" t="s">
        <v>1057</v>
      </c>
      <c r="U2" s="76"/>
      <c r="V2" s="76"/>
      <c r="W2" s="76"/>
    </row>
    <row r="3" spans="1:23" s="65" customFormat="1" ht="36.75" customHeight="1">
      <c r="A3" s="82"/>
      <c r="B3" s="81"/>
      <c r="C3" s="81"/>
      <c r="D3" s="81"/>
      <c r="E3" s="81"/>
      <c r="F3" s="81"/>
      <c r="G3" s="81"/>
      <c r="H3" s="66" t="s">
        <v>1073</v>
      </c>
      <c r="I3" s="66" t="s">
        <v>1074</v>
      </c>
      <c r="J3" s="66" t="s">
        <v>1075</v>
      </c>
      <c r="K3" s="83"/>
      <c r="L3" s="79"/>
      <c r="M3" s="80"/>
      <c r="N3" s="67" t="s">
        <v>1060</v>
      </c>
      <c r="O3" s="67" t="s">
        <v>1061</v>
      </c>
      <c r="P3" s="66" t="s">
        <v>1073</v>
      </c>
      <c r="Q3" s="66" t="s">
        <v>1059</v>
      </c>
      <c r="R3" s="66" t="s">
        <v>1075</v>
      </c>
      <c r="S3" s="75"/>
      <c r="T3" s="75"/>
      <c r="U3" s="75"/>
      <c r="V3" s="75"/>
      <c r="W3" s="75"/>
    </row>
    <row r="4" spans="1:23">
      <c r="U4" s="69"/>
    </row>
  </sheetData>
  <autoFilter ref="P3:R3" xr:uid="{00000000-0009-0000-0000-000007000000}"/>
  <mergeCells count="21">
    <mergeCell ref="P1:T1"/>
    <mergeCell ref="U1:U3"/>
    <mergeCell ref="V1:V3"/>
    <mergeCell ref="B2:B3"/>
    <mergeCell ref="C2:C3"/>
    <mergeCell ref="D2:D3"/>
    <mergeCell ref="E2:E3"/>
    <mergeCell ref="F2:F3"/>
    <mergeCell ref="G2:G3"/>
    <mergeCell ref="A1:A3"/>
    <mergeCell ref="B1:F1"/>
    <mergeCell ref="G1:J1"/>
    <mergeCell ref="K1:K3"/>
    <mergeCell ref="H2:J2"/>
    <mergeCell ref="P2:R2"/>
    <mergeCell ref="S2:S3"/>
    <mergeCell ref="T2:T3"/>
    <mergeCell ref="W1:W3"/>
    <mergeCell ref="N2:O2"/>
    <mergeCell ref="L2:M3"/>
    <mergeCell ref="L1:O1"/>
  </mergeCells>
  <phoneticPr fontId="1" type="noConversion"/>
  <pageMargins left="0.7" right="0.7" top="0.75" bottom="0.75" header="0.3" footer="0.3"/>
  <pageSetup paperSize="9" scale="3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2</vt:i4>
      </vt:variant>
    </vt:vector>
  </HeadingPairs>
  <TitlesOfParts>
    <vt:vector size="8" baseType="lpstr">
      <vt:lpstr>Qualification and responsi-</vt:lpstr>
      <vt:lpstr>(EN)Risk Analysis Control Table</vt:lpstr>
      <vt:lpstr>Sheet1</vt:lpstr>
      <vt:lpstr>Sheet2</vt:lpstr>
      <vt:lpstr>Sheet3</vt:lpstr>
      <vt:lpstr>FMEA template</vt:lpstr>
      <vt:lpstr>'FMEA template'!Print_Area</vt:lpstr>
      <vt:lpstr>'Qualification and responsi-'!Print_Area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 Hoon Park</dc:creator>
  <cp:lastModifiedBy>이용준</cp:lastModifiedBy>
  <cp:lastPrinted>2025-06-19T05:57:35Z</cp:lastPrinted>
  <dcterms:created xsi:type="dcterms:W3CDTF">2013-04-08T01:41:17Z</dcterms:created>
  <dcterms:modified xsi:type="dcterms:W3CDTF">2026-05-28T01:34:31Z</dcterms:modified>
</cp:coreProperties>
</file>